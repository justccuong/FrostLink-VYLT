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in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"/>
    <numFmt numFmtId="165" formatCode="0.0%"/>
    <numFmt numFmtId="166" formatCode="#,##0.0"/>
  </numFmts>
  <fonts count="10">
    <font>
      <name val="Calibri"/>
      <family val="2"/>
      <color theme="1"/>
      <sz val="11"/>
      <scheme val="minor"/>
    </font>
    <font>
      <name val="Arial"/>
      <b val="1"/>
      <color rgb="001565C0"/>
      <sz val="12"/>
    </font>
    <font>
      <name val="Arial"/>
      <b val="1"/>
      <color rgb="00000000"/>
      <sz val="9.5"/>
    </font>
    <font>
      <name val="Arial"/>
      <sz val="9"/>
    </font>
    <font>
      <name val="Arial"/>
      <b val="1"/>
      <color rgb="001565C0"/>
      <sz val="11"/>
    </font>
    <font>
      <name val="Arial"/>
      <b val="1"/>
      <color rgb="00FFFFFF"/>
      <sz val="10"/>
    </font>
    <font>
      <name val="Arial"/>
      <b val="1"/>
      <sz val="9.5"/>
    </font>
    <font>
      <name val="Arial"/>
      <sz val="9.5"/>
    </font>
    <font>
      <name val="Arial"/>
      <b val="1"/>
      <color rgb="00000000"/>
      <sz val="10"/>
    </font>
    <font>
      <name val="Arial"/>
      <b val="1"/>
      <color rgb="00D32F2F"/>
      <sz val="10"/>
    </font>
  </fonts>
  <fills count="15">
    <fill>
      <patternFill/>
    </fill>
    <fill>
      <patternFill patternType="gray125"/>
    </fill>
    <fill>
      <patternFill patternType="solid">
        <fgColor rgb="00FFE0B2"/>
        <bgColor rgb="00FFE0B2"/>
      </patternFill>
    </fill>
    <fill>
      <patternFill patternType="solid">
        <fgColor rgb="00FFF9C4"/>
        <bgColor rgb="00FFF9C4"/>
      </patternFill>
    </fill>
    <fill>
      <patternFill patternType="solid">
        <fgColor rgb="00C8E6C9"/>
        <bgColor rgb="00C8E6C9"/>
      </patternFill>
    </fill>
    <fill>
      <patternFill patternType="solid">
        <fgColor rgb="00E1BEE7"/>
        <bgColor rgb="00E1BEE7"/>
      </patternFill>
    </fill>
    <fill>
      <patternFill patternType="solid">
        <fgColor rgb="00BBDEFB"/>
        <bgColor rgb="00BBDEFB"/>
      </patternFill>
    </fill>
    <fill>
      <patternFill patternType="solid">
        <fgColor rgb="00E0F2F1"/>
        <bgColor rgb="00E0F2F1"/>
      </patternFill>
    </fill>
    <fill>
      <patternFill patternType="solid">
        <fgColor rgb="00D1C4E9"/>
        <bgColor rgb="00D1C4E9"/>
      </patternFill>
    </fill>
    <fill>
      <patternFill patternType="solid">
        <fgColor rgb="00C5CAE9"/>
        <bgColor rgb="00C5CAE9"/>
      </patternFill>
    </fill>
    <fill>
      <patternFill patternType="solid">
        <fgColor rgb="00FFCDD2"/>
        <bgColor rgb="00FFCDD2"/>
      </patternFill>
    </fill>
    <fill>
      <patternFill patternType="solid">
        <fgColor rgb="00F5F5F5"/>
        <bgColor rgb="00F5F5F5"/>
      </patternFill>
    </fill>
    <fill>
      <patternFill patternType="solid">
        <fgColor rgb="00EF9A9A"/>
        <bgColor rgb="00EF9A9A"/>
      </patternFill>
    </fill>
    <fill>
      <patternFill patternType="solid">
        <fgColor rgb="00A5D6A7"/>
        <bgColor rgb="00A5D6A7"/>
      </patternFill>
    </fill>
    <fill>
      <patternFill patternType="solid">
        <fgColor rgb="001565C0"/>
        <bgColor rgb="001565C0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center" vertical="center" wrapText="1"/>
    </xf>
    <xf numFmtId="0" fontId="2" fillId="9" borderId="1" applyAlignment="1" pivotButton="0" quotePrefix="0" xfId="0">
      <alignment horizontal="center" vertical="center" wrapText="1"/>
    </xf>
    <xf numFmtId="0" fontId="2" fillId="10" borderId="1" applyAlignment="1" pivotButton="0" quotePrefix="0" xfId="0">
      <alignment horizontal="center" vertical="center" wrapText="1"/>
    </xf>
    <xf numFmtId="0" fontId="2" fillId="11" borderId="1" applyAlignment="1" pivotButton="0" quotePrefix="0" xfId="0">
      <alignment horizontal="center" vertical="center" wrapText="1"/>
    </xf>
    <xf numFmtId="0" fontId="2" fillId="12" borderId="1" applyAlignment="1" pivotButton="0" quotePrefix="0" xfId="0">
      <alignment horizontal="center" vertical="center" wrapText="1"/>
    </xf>
    <xf numFmtId="0" fontId="2" fillId="1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right"/>
    </xf>
    <xf numFmtId="165" fontId="3" fillId="0" borderId="1" applyAlignment="1" pivotButton="0" quotePrefix="0" xfId="0">
      <alignment horizontal="right"/>
    </xf>
    <xf numFmtId="0" fontId="3" fillId="0" borderId="1" applyAlignment="1" pivotButton="0" quotePrefix="0" xfId="0">
      <alignment horizontal="right"/>
    </xf>
    <xf numFmtId="3" fontId="3" fillId="0" borderId="1" applyAlignment="1" pivotButton="0" quotePrefix="0" xfId="0">
      <alignment horizontal="right"/>
    </xf>
    <xf numFmtId="166" fontId="3" fillId="0" borderId="1" applyAlignment="1" pivotButton="0" quotePrefix="0" xfId="0">
      <alignment horizontal="right"/>
    </xf>
    <xf numFmtId="0" fontId="4" fillId="0" borderId="0" pivotButton="0" quotePrefix="0" xfId="0"/>
    <xf numFmtId="0" fontId="5" fillId="14" borderId="1" applyAlignment="1" pivotButton="0" quotePrefix="0" xfId="0">
      <alignment horizontal="center" vertical="center"/>
    </xf>
    <xf numFmtId="0" fontId="6" fillId="0" borderId="1" pivotButton="0" quotePrefix="0" xfId="0"/>
    <xf numFmtId="0" fontId="0" fillId="0" borderId="1" pivotButton="0" quotePrefix="0" xfId="0"/>
    <xf numFmtId="0" fontId="7" fillId="0" borderId="1" pivotButton="0" quotePrefix="0" xfId="0"/>
    <xf numFmtId="0" fontId="8" fillId="3" borderId="1" pivotButton="0" quotePrefix="0" xfId="0"/>
    <xf numFmtId="0" fontId="9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104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38" customWidth="1" min="2" max="2"/>
    <col width="14" customWidth="1" min="3" max="3"/>
    <col width="13" customWidth="1" min="4" max="4"/>
    <col width="16" customWidth="1" min="5" max="5"/>
    <col width="18" customWidth="1" min="6" max="6"/>
    <col width="28" customWidth="1" min="7" max="7"/>
    <col width="29" customWidth="1" min="8" max="8"/>
    <col width="24" customWidth="1" min="9" max="9"/>
    <col width="41" customWidth="1" min="10" max="10"/>
    <col width="53" customWidth="1" min="11" max="11"/>
    <col width="57" customWidth="1" min="12" max="12"/>
    <col width="57" customWidth="1" min="13" max="13"/>
    <col width="32" customWidth="1" min="14" max="14"/>
    <col width="30" customWidth="1" min="15" max="15"/>
    <col width="39" customWidth="1" min="16" max="16"/>
    <col width="55" customWidth="1" min="17" max="17"/>
    <col width="52" customWidth="1" min="18" max="18"/>
    <col width="30" customWidth="1" min="19" max="19"/>
    <col width="31" customWidth="1" min="20" max="20"/>
    <col width="30" customWidth="1" min="21" max="21"/>
    <col width="37" customWidth="1" min="22" max="22"/>
    <col width="45" customWidth="1" min="23" max="23"/>
    <col width="20" customWidth="1" min="24" max="24"/>
    <col width="33" customWidth="1" min="25" max="25"/>
    <col width="30" customWidth="1" min="26" max="26"/>
    <col width="52" customWidth="1" min="27" max="27"/>
    <col width="52" customWidth="1" min="28" max="28"/>
    <col width="39" customWidth="1" min="29" max="29"/>
    <col width="31" customWidth="1" min="30" max="30"/>
    <col width="37" customWidth="1" min="31" max="31"/>
    <col width="38" customWidth="1" min="32" max="32"/>
    <col width="40" customWidth="1" min="33" max="33"/>
  </cols>
  <sheetData>
    <row r="1">
      <c r="A1" s="1" t="inlineStr">
        <is>
          <t>BẢNG DỮ LIỆU THỰC ĐỊA VÀ MÔ HÌNH ĐIỀU PHỐI CONTAINER LẠNH 40 FEET 3 LỚP FROSTLINK (92 NGÀY - THÁNG 5, 6, 7/2026)</t>
        </is>
      </c>
    </row>
    <row r="2">
      <c r="A2" s="2" t="inlineStr">
        <is>
          <t>Ngày</t>
        </is>
      </c>
      <c r="B2" s="3" t="inlineStr">
        <is>
          <t>Temp_t (°C)</t>
        </is>
      </c>
      <c r="C2" s="3" t="inlineStr">
        <is>
          <t>Rain_t (mm)</t>
        </is>
      </c>
      <c r="D2" s="3" t="inlineStr">
        <is>
          <t>Ripe_t (%)</t>
        </is>
      </c>
      <c r="E2" s="3" t="inlineStr">
        <is>
          <t>Order_t (Tấn)</t>
        </is>
      </c>
      <c r="F2" s="3" t="inlineStr">
        <is>
          <t>PeakDay_t (0/1)</t>
        </is>
      </c>
      <c r="G2" s="4" t="inlineStr">
        <is>
          <t>Sản lượng thu hoạch (Tấn)</t>
        </is>
      </c>
      <c r="H2" s="4" t="inlineStr">
        <is>
          <t>Sản lượng đi xe lạnh (Tấn)</t>
        </is>
      </c>
      <c r="I2" s="5" t="inlineStr">
        <is>
          <t>Nhiệt độ yêu cầu (°C)</t>
        </is>
      </c>
      <c r="J2" s="6" t="inlineStr">
        <is>
          <t>Thực tế - Nhu cầu Cont 40ft (18T*0.96)</t>
        </is>
      </c>
      <c r="K2" s="7" t="inlineStr">
        <is>
          <t>Dự báo T+7 (Tấn)</t>
        </is>
      </c>
      <c r="L2" s="7" t="inlineStr">
        <is>
          <t>Dự báo T+3 (Tấn)</t>
        </is>
      </c>
      <c r="M2" s="7" t="inlineStr">
        <is>
          <t>Dự báo T+1 (Tấn)</t>
        </is>
      </c>
      <c r="N2" s="7" t="inlineStr">
        <is>
          <t>Dự báo - Sản lượng lạnh (Tấn)</t>
        </is>
      </c>
      <c r="O2" s="8" t="inlineStr">
        <is>
          <t>Dự báo - Nhu cầu Cont 40ft</t>
        </is>
      </c>
      <c r="P2" s="9" t="inlineStr">
        <is>
          <t>Lớp 1 - Cam kết cứng (70% Cont 40ft)</t>
        </is>
      </c>
      <c r="Q2" s="9" t="inlineStr">
        <is>
          <t>Lớp 2 - Quyền chọn linh hoạt (20%)</t>
        </is>
      </c>
      <c r="R2" s="9" t="inlineStr">
        <is>
          <t>Trạng thái Lớp 2 (Hủy khi Mưa &gt; 20mm)</t>
        </is>
      </c>
      <c r="S2" s="9" t="inlineStr">
        <is>
          <t>Lớp 2 - Thực chạy Cont 40ft</t>
        </is>
      </c>
      <c r="T2" s="10" t="inlineStr">
        <is>
          <t>Chi phí phạt cọc Lớp 2 (VNĐ)</t>
        </is>
      </c>
      <c r="U2" s="9" t="inlineStr">
        <is>
          <t>Lớp 3 - Giao ngay Cont 40ft</t>
        </is>
      </c>
      <c r="V2" s="6" t="inlineStr">
        <is>
          <t>Tổng Cont 40ft FrostLink thực chạy</t>
        </is>
      </c>
      <c r="W2" s="3" t="inlineStr">
        <is>
          <t>Giá cước Cont 40ft (VNĐ)</t>
        </is>
      </c>
      <c r="X2" s="11" t="inlineStr">
        <is>
          <t>Tỷ lệ hư hỏng (%)</t>
        </is>
      </c>
      <c r="Y2" s="2" t="inlineStr">
        <is>
          <t>Baseline (Dự báo số Cont 40ft)</t>
        </is>
      </c>
      <c r="Z2" s="2" t="inlineStr">
        <is>
          <t>Baseline - Sai số Cont 40ft</t>
        </is>
      </c>
      <c r="AA2" s="10" t="inlineStr">
        <is>
          <t>Baseline - C_over (VNĐ)</t>
        </is>
      </c>
      <c r="AB2" s="10" t="inlineStr">
        <is>
          <t>Baseline - C_under (VNĐ)</t>
        </is>
      </c>
      <c r="AC2" s="12" t="inlineStr">
        <is>
          <t>Baseline - Tổng chi phí rủi ro (VNĐ)</t>
        </is>
      </c>
      <c r="AD2" s="4" t="inlineStr">
        <is>
          <t>FrostLink - Sai số Cont 40ft</t>
        </is>
      </c>
      <c r="AE2" s="4" t="inlineStr">
        <is>
          <t>FrostLink - C_over Cont 40ft (VNĐ)</t>
        </is>
      </c>
      <c r="AF2" s="4" t="inlineStr">
        <is>
          <t>FrostLink - C_under Cont 40ft (VNĐ)</t>
        </is>
      </c>
      <c r="AG2" s="13" t="inlineStr">
        <is>
          <t>FrostLink - Tổng chi phí rủi ro (VNĐ)</t>
        </is>
      </c>
    </row>
    <row r="3">
      <c r="A3" s="14" t="inlineStr">
        <is>
          <t>Ngày 01 (01/05)</t>
        </is>
      </c>
      <c r="B3" s="15" t="n">
        <v>29.3</v>
      </c>
      <c r="C3" s="15" t="n">
        <v>0</v>
      </c>
      <c r="D3" s="16" t="n">
        <v>0.124</v>
      </c>
      <c r="E3" s="17" t="n">
        <v>53.6</v>
      </c>
      <c r="F3" s="18" t="n">
        <v>1</v>
      </c>
      <c r="G3" s="19" t="n">
        <v>86.09999999999999</v>
      </c>
      <c r="H3" s="19">
        <f>G3*IF(F3=1, 0.85, 0.8)</f>
        <v/>
      </c>
      <c r="I3" s="14" t="inlineStr">
        <is>
          <t>2-4</t>
        </is>
      </c>
      <c r="J3" s="18">
        <f>INT(H3/(18*0.96))</f>
        <v/>
      </c>
      <c r="K3" s="19">
        <f>MAX(15, ROUND(TREND(G$3:G$94, E$3:E$94, E3), 1))</f>
        <v/>
      </c>
      <c r="L3" s="19">
        <f>MAX(15, ROUND(TREND(G$3:G$94, B$3:E$94, B3:E3), 1))</f>
        <v/>
      </c>
      <c r="M3" s="19">
        <f>MAX(15, ROUND(TREND(G$3:G$94, B$3:F$94, B3:F3), 1))</f>
        <v/>
      </c>
      <c r="N3" s="19">
        <f>M3*IF(F3=1, 0.85, 0.8)</f>
        <v/>
      </c>
      <c r="O3" s="18">
        <f>MAX(0, INT(N3/(18*0.96)))</f>
        <v/>
      </c>
      <c r="P3" s="18">
        <f>MAX(0, ROUND(O3*70%, 0))</f>
        <v/>
      </c>
      <c r="Q3" s="18">
        <f>MAX(0, MIN(ROUNDUP(O3*0.2, 0), MAX(0, O3 - P3)))</f>
        <v/>
      </c>
      <c r="R3" s="14">
        <f>IF(C3&gt;20, "Hủy slot (Mưa &gt; 20mm)", "Kích hoạt")</f>
        <v/>
      </c>
      <c r="S3" s="18">
        <f>IF(C3&gt;20, 0, Q3)</f>
        <v/>
      </c>
      <c r="T3" s="18">
        <f>IF(C3&gt;20, Q3*0.2*W3, 0)</f>
        <v/>
      </c>
      <c r="U3" s="18">
        <f>MAX(0, J3 - P3 - S3)</f>
        <v/>
      </c>
      <c r="V3" s="18">
        <f>P3 + S3 + U3</f>
        <v/>
      </c>
      <c r="W3" s="18">
        <f>IF(OR(B3&gt;=34, F3=1), 11700000, 9000000)</f>
        <v/>
      </c>
      <c r="X3" s="17" t="n">
        <v>0.02</v>
      </c>
      <c r="Y3" s="18" t="n"/>
      <c r="Z3" s="18" t="n"/>
      <c r="AA3" s="18">
        <f>IF(Y3="", 0, IF(Y3&gt;J3, (Y3-J3)*2700000, 0))</f>
        <v/>
      </c>
      <c r="AB3" s="18">
        <f>IF(Y3="", 0, IF(J3&gt;Y3, (J3-Y3)*6000000, 0))</f>
        <v/>
      </c>
      <c r="AC3" s="18">
        <f>AA3 + AB3</f>
        <v/>
      </c>
      <c r="AD3" s="18">
        <f>ABS(V3 - J3)</f>
        <v/>
      </c>
      <c r="AE3" s="18">
        <f>IF(V3&gt;J3, (V3-J3)*2700000, 0)</f>
        <v/>
      </c>
      <c r="AF3" s="18">
        <f>IF(J3&gt;V3, (J3-V3)*6000000, 0)</f>
        <v/>
      </c>
      <c r="AG3" s="18">
        <f>AE3 + AF3 + T3</f>
        <v/>
      </c>
    </row>
    <row r="4">
      <c r="A4" s="14" t="inlineStr">
        <is>
          <t>Ngày 02 (02/05)</t>
        </is>
      </c>
      <c r="B4" s="15" t="n">
        <v>29.5</v>
      </c>
      <c r="C4" s="15" t="n">
        <v>12.1</v>
      </c>
      <c r="D4" s="16" t="n">
        <v>0.136</v>
      </c>
      <c r="E4" s="17" t="n">
        <v>25.8</v>
      </c>
      <c r="F4" s="18" t="n">
        <v>0</v>
      </c>
      <c r="G4" s="19" t="n">
        <v>33</v>
      </c>
      <c r="H4" s="19">
        <f>G4*IF(F4=1, 0.85, 0.8)</f>
        <v/>
      </c>
      <c r="I4" s="14" t="inlineStr">
        <is>
          <t>2-4</t>
        </is>
      </c>
      <c r="J4" s="18">
        <f>INT(H4/(18*0.96))</f>
        <v/>
      </c>
      <c r="K4" s="19">
        <f>MAX(15, ROUND(TREND(G$3:G$94, E$3:E$94, E4), 1))</f>
        <v/>
      </c>
      <c r="L4" s="19">
        <f>MAX(15, ROUND(TREND(G$3:G$94, B$3:E$94, B4:E4), 1))</f>
        <v/>
      </c>
      <c r="M4" s="19">
        <f>MAX(15, ROUND(TREND(G$3:G$94, B$3:F$94, B4:F4), 1))</f>
        <v/>
      </c>
      <c r="N4" s="19">
        <f>M4*IF(F4=1, 0.85, 0.8)</f>
        <v/>
      </c>
      <c r="O4" s="18">
        <f>MAX(0, INT(N4/(18*0.96)))</f>
        <v/>
      </c>
      <c r="P4" s="18">
        <f>MAX(0, ROUND(O4*70%, 0))</f>
        <v/>
      </c>
      <c r="Q4" s="18">
        <f>MAX(0, MIN(ROUNDUP(O4*0.2, 0), MAX(0, O4 - P4)))</f>
        <v/>
      </c>
      <c r="R4" s="14">
        <f>IF(C4&gt;20, "Hủy slot (Mưa &gt; 20mm)", "Kích hoạt")</f>
        <v/>
      </c>
      <c r="S4" s="18">
        <f>IF(C4&gt;20, 0, Q4)</f>
        <v/>
      </c>
      <c r="T4" s="18">
        <f>IF(C4&gt;20, Q4*0.2*W4, 0)</f>
        <v/>
      </c>
      <c r="U4" s="18">
        <f>MAX(0, J4 - P4 - S4)</f>
        <v/>
      </c>
      <c r="V4" s="18">
        <f>P4 + S4 + U4</f>
        <v/>
      </c>
      <c r="W4" s="18">
        <f>IF(OR(B4&gt;=34, F4=1), 11700000, 9000000)</f>
        <v/>
      </c>
      <c r="X4" s="17" t="n">
        <v>0.02</v>
      </c>
      <c r="Y4" s="18" t="n"/>
      <c r="Z4" s="18" t="n"/>
      <c r="AA4" s="18">
        <f>IF(Y4="", 0, IF(Y4&gt;J4, (Y4-J4)*2700000, 0))</f>
        <v/>
      </c>
      <c r="AB4" s="18">
        <f>IF(Y4="", 0, IF(J4&gt;Y4, (J4-Y4)*6000000, 0))</f>
        <v/>
      </c>
      <c r="AC4" s="18">
        <f>AA4 + AB4</f>
        <v/>
      </c>
      <c r="AD4" s="18">
        <f>ABS(V4 - J4)</f>
        <v/>
      </c>
      <c r="AE4" s="18">
        <f>IF(V4&gt;J4, (V4-J4)*2700000, 0)</f>
        <v/>
      </c>
      <c r="AF4" s="18">
        <f>IF(J4&gt;V4, (J4-V4)*6000000, 0)</f>
        <v/>
      </c>
      <c r="AG4" s="18">
        <f>AE4 + AF4 + T4</f>
        <v/>
      </c>
    </row>
    <row r="5">
      <c r="A5" s="14" t="inlineStr">
        <is>
          <t>Ngày 03 (03/05)</t>
        </is>
      </c>
      <c r="B5" s="15" t="n">
        <v>27.9</v>
      </c>
      <c r="C5" s="15" t="n">
        <v>36</v>
      </c>
      <c r="D5" s="16" t="n">
        <v>0.142</v>
      </c>
      <c r="E5" s="17" t="n">
        <v>40.4</v>
      </c>
      <c r="F5" s="18" t="n">
        <v>0</v>
      </c>
      <c r="G5" s="19" t="n">
        <v>24.4</v>
      </c>
      <c r="H5" s="19">
        <f>G5*IF(F5=1, 0.85, 0.8)</f>
        <v/>
      </c>
      <c r="I5" s="14" t="inlineStr">
        <is>
          <t>2-4</t>
        </is>
      </c>
      <c r="J5" s="18">
        <f>INT(H5/(18*0.96))</f>
        <v/>
      </c>
      <c r="K5" s="19">
        <f>MAX(15, ROUND(TREND(G$3:G$94, E$3:E$94, E5), 1))</f>
        <v/>
      </c>
      <c r="L5" s="19">
        <f>MAX(15, ROUND(TREND(G$3:G$94, B$3:E$94, B5:E5), 1))</f>
        <v/>
      </c>
      <c r="M5" s="19">
        <f>MAX(15, ROUND(TREND(G$3:G$94, B$3:F$94, B5:F5), 1))</f>
        <v/>
      </c>
      <c r="N5" s="19">
        <f>M5*IF(F5=1, 0.85, 0.8)</f>
        <v/>
      </c>
      <c r="O5" s="18">
        <f>MAX(0, INT(N5/(18*0.96)))</f>
        <v/>
      </c>
      <c r="P5" s="18">
        <f>MAX(0, ROUND(O5*70%, 0))</f>
        <v/>
      </c>
      <c r="Q5" s="18">
        <f>MAX(0, MIN(ROUNDUP(O5*0.2, 0), MAX(0, O5 - P5)))</f>
        <v/>
      </c>
      <c r="R5" s="14">
        <f>IF(C5&gt;20, "Hủy slot (Mưa &gt; 20mm)", "Kích hoạt")</f>
        <v/>
      </c>
      <c r="S5" s="18">
        <f>IF(C5&gt;20, 0, Q5)</f>
        <v/>
      </c>
      <c r="T5" s="18">
        <f>IF(C5&gt;20, Q5*0.2*W5, 0)</f>
        <v/>
      </c>
      <c r="U5" s="18">
        <f>MAX(0, J5 - P5 - S5)</f>
        <v/>
      </c>
      <c r="V5" s="18">
        <f>P5 + S5 + U5</f>
        <v/>
      </c>
      <c r="W5" s="18">
        <f>IF(OR(B5&gt;=34, F5=1), 11700000, 9000000)</f>
        <v/>
      </c>
      <c r="X5" s="17" t="n">
        <v>0.02</v>
      </c>
      <c r="Y5" s="18" t="n"/>
      <c r="Z5" s="18" t="n"/>
      <c r="AA5" s="18">
        <f>IF(Y5="", 0, IF(Y5&gt;J5, (Y5-J5)*2700000, 0))</f>
        <v/>
      </c>
      <c r="AB5" s="18">
        <f>IF(Y5="", 0, IF(J5&gt;Y5, (J5-Y5)*6000000, 0))</f>
        <v/>
      </c>
      <c r="AC5" s="18">
        <f>AA5 + AB5</f>
        <v/>
      </c>
      <c r="AD5" s="18">
        <f>ABS(V5 - J5)</f>
        <v/>
      </c>
      <c r="AE5" s="18">
        <f>IF(V5&gt;J5, (V5-J5)*2700000, 0)</f>
        <v/>
      </c>
      <c r="AF5" s="18">
        <f>IF(J5&gt;V5, (J5-V5)*6000000, 0)</f>
        <v/>
      </c>
      <c r="AG5" s="18">
        <f>AE5 + AF5 + T5</f>
        <v/>
      </c>
    </row>
    <row r="6">
      <c r="A6" s="14" t="inlineStr">
        <is>
          <t>Ngày 04 (04/05)</t>
        </is>
      </c>
      <c r="B6" s="15" t="n">
        <v>28.7</v>
      </c>
      <c r="C6" s="15" t="n">
        <v>15.2</v>
      </c>
      <c r="D6" s="16" t="n">
        <v>0.141</v>
      </c>
      <c r="E6" s="17" t="n">
        <v>33.4</v>
      </c>
      <c r="F6" s="18" t="n">
        <v>0</v>
      </c>
      <c r="G6" s="19" t="n">
        <v>32.6</v>
      </c>
      <c r="H6" s="19">
        <f>G6*IF(F6=1, 0.85, 0.8)</f>
        <v/>
      </c>
      <c r="I6" s="14" t="inlineStr">
        <is>
          <t>2-4</t>
        </is>
      </c>
      <c r="J6" s="18">
        <f>INT(H6/(18*0.96))</f>
        <v/>
      </c>
      <c r="K6" s="19">
        <f>MAX(15, ROUND(TREND(G$3:G$94, E$3:E$94, E6), 1))</f>
        <v/>
      </c>
      <c r="L6" s="19">
        <f>MAX(15, ROUND(TREND(G$3:G$94, B$3:E$94, B6:E6), 1))</f>
        <v/>
      </c>
      <c r="M6" s="19">
        <f>MAX(15, ROUND(TREND(G$3:G$94, B$3:F$94, B6:F6), 1))</f>
        <v/>
      </c>
      <c r="N6" s="19">
        <f>M6*IF(F6=1, 0.85, 0.8)</f>
        <v/>
      </c>
      <c r="O6" s="18">
        <f>MAX(0, INT(N6/(18*0.96)))</f>
        <v/>
      </c>
      <c r="P6" s="18">
        <f>MAX(0, ROUND(O6*70%, 0))</f>
        <v/>
      </c>
      <c r="Q6" s="18">
        <f>MAX(0, MIN(ROUNDUP(O6*0.2, 0), MAX(0, O6 - P6)))</f>
        <v/>
      </c>
      <c r="R6" s="14">
        <f>IF(C6&gt;20, "Hủy slot (Mưa &gt; 20mm)", "Kích hoạt")</f>
        <v/>
      </c>
      <c r="S6" s="18">
        <f>IF(C6&gt;20, 0, Q6)</f>
        <v/>
      </c>
      <c r="T6" s="18">
        <f>IF(C6&gt;20, Q6*0.2*W6, 0)</f>
        <v/>
      </c>
      <c r="U6" s="18">
        <f>MAX(0, J6 - P6 - S6)</f>
        <v/>
      </c>
      <c r="V6" s="18">
        <f>P6 + S6 + U6</f>
        <v/>
      </c>
      <c r="W6" s="18">
        <f>IF(OR(B6&gt;=34, F6=1), 11700000, 9000000)</f>
        <v/>
      </c>
      <c r="X6" s="17" t="n">
        <v>0.02</v>
      </c>
      <c r="Y6" s="18">
        <f>AVERAGE(J3:J5)</f>
        <v/>
      </c>
      <c r="Z6" s="18">
        <f>ABS(J6 - Y6)</f>
        <v/>
      </c>
      <c r="AA6" s="18">
        <f>IF(Y6="", 0, IF(Y6&gt;J6, (Y6-J6)*2700000, 0))</f>
        <v/>
      </c>
      <c r="AB6" s="18">
        <f>IF(Y6="", 0, IF(J6&gt;Y6, (J6-Y6)*6000000, 0))</f>
        <v/>
      </c>
      <c r="AC6" s="18">
        <f>AA6 + AB6</f>
        <v/>
      </c>
      <c r="AD6" s="18">
        <f>ABS(V6 - J6)</f>
        <v/>
      </c>
      <c r="AE6" s="18">
        <f>IF(V6&gt;J6, (V6-J6)*2700000, 0)</f>
        <v/>
      </c>
      <c r="AF6" s="18">
        <f>IF(J6&gt;V6, (J6-V6)*6000000, 0)</f>
        <v/>
      </c>
      <c r="AG6" s="18">
        <f>AE6 + AF6 + T6</f>
        <v/>
      </c>
    </row>
    <row r="7">
      <c r="A7" s="14" t="inlineStr">
        <is>
          <t>Ngày 05 (05/05)</t>
        </is>
      </c>
      <c r="B7" s="15" t="n">
        <v>29.9</v>
      </c>
      <c r="C7" s="15" t="n">
        <v>0</v>
      </c>
      <c r="D7" s="16" t="n">
        <v>0.146</v>
      </c>
      <c r="E7" s="17" t="n">
        <v>24.8</v>
      </c>
      <c r="F7" s="18" t="n">
        <v>0</v>
      </c>
      <c r="G7" s="19" t="n">
        <v>31.4</v>
      </c>
      <c r="H7" s="19">
        <f>G7*IF(F7=1, 0.85, 0.8)</f>
        <v/>
      </c>
      <c r="I7" s="14" t="inlineStr">
        <is>
          <t>2-4</t>
        </is>
      </c>
      <c r="J7" s="18">
        <f>INT(H7/(18*0.96))</f>
        <v/>
      </c>
      <c r="K7" s="19">
        <f>MAX(15, ROUND(TREND(G$3:G$94, E$3:E$94, E7), 1))</f>
        <v/>
      </c>
      <c r="L7" s="19">
        <f>MAX(15, ROUND(TREND(G$3:G$94, B$3:E$94, B7:E7), 1))</f>
        <v/>
      </c>
      <c r="M7" s="19">
        <f>MAX(15, ROUND(TREND(G$3:G$94, B$3:F$94, B7:F7), 1))</f>
        <v/>
      </c>
      <c r="N7" s="19">
        <f>M7*IF(F7=1, 0.85, 0.8)</f>
        <v/>
      </c>
      <c r="O7" s="18">
        <f>MAX(0, INT(N7/(18*0.96)))</f>
        <v/>
      </c>
      <c r="P7" s="18">
        <f>MAX(0, ROUND(O7*70%, 0))</f>
        <v/>
      </c>
      <c r="Q7" s="18">
        <f>MAX(0, MIN(ROUNDUP(O7*0.2, 0), MAX(0, O7 - P7)))</f>
        <v/>
      </c>
      <c r="R7" s="14">
        <f>IF(C7&gt;20, "Hủy slot (Mưa &gt; 20mm)", "Kích hoạt")</f>
        <v/>
      </c>
      <c r="S7" s="18">
        <f>IF(C7&gt;20, 0, Q7)</f>
        <v/>
      </c>
      <c r="T7" s="18">
        <f>IF(C7&gt;20, Q7*0.2*W7, 0)</f>
        <v/>
      </c>
      <c r="U7" s="18">
        <f>MAX(0, J7 - P7 - S7)</f>
        <v/>
      </c>
      <c r="V7" s="18">
        <f>P7 + S7 + U7</f>
        <v/>
      </c>
      <c r="W7" s="18">
        <f>IF(OR(B7&gt;=34, F7=1), 11700000, 9000000)</f>
        <v/>
      </c>
      <c r="X7" s="17" t="n">
        <v>0.02</v>
      </c>
      <c r="Y7" s="18">
        <f>AVERAGE(J4:J6)</f>
        <v/>
      </c>
      <c r="Z7" s="18">
        <f>ABS(J7 - Y7)</f>
        <v/>
      </c>
      <c r="AA7" s="18">
        <f>IF(Y7="", 0, IF(Y7&gt;J7, (Y7-J7)*2700000, 0))</f>
        <v/>
      </c>
      <c r="AB7" s="18">
        <f>IF(Y7="", 0, IF(J7&gt;Y7, (J7-Y7)*6000000, 0))</f>
        <v/>
      </c>
      <c r="AC7" s="18">
        <f>AA7 + AB7</f>
        <v/>
      </c>
      <c r="AD7" s="18">
        <f>ABS(V7 - J7)</f>
        <v/>
      </c>
      <c r="AE7" s="18">
        <f>IF(V7&gt;J7, (V7-J7)*2700000, 0)</f>
        <v/>
      </c>
      <c r="AF7" s="18">
        <f>IF(J7&gt;V7, (J7-V7)*6000000, 0)</f>
        <v/>
      </c>
      <c r="AG7" s="18">
        <f>AE7 + AF7 + T7</f>
        <v/>
      </c>
    </row>
    <row r="8">
      <c r="A8" s="14" t="inlineStr">
        <is>
          <t>Ngày 06 (06/05)</t>
        </is>
      </c>
      <c r="B8" s="15" t="n">
        <v>30</v>
      </c>
      <c r="C8" s="15" t="n">
        <v>0.1</v>
      </c>
      <c r="D8" s="16" t="n">
        <v>0.148</v>
      </c>
      <c r="E8" s="17" t="n">
        <v>40.2</v>
      </c>
      <c r="F8" s="18" t="n">
        <v>0</v>
      </c>
      <c r="G8" s="19" t="n">
        <v>56.7</v>
      </c>
      <c r="H8" s="19">
        <f>G8*IF(F8=1, 0.85, 0.8)</f>
        <v/>
      </c>
      <c r="I8" s="14" t="inlineStr">
        <is>
          <t>2-4</t>
        </is>
      </c>
      <c r="J8" s="18">
        <f>INT(H8/(18*0.96))</f>
        <v/>
      </c>
      <c r="K8" s="19">
        <f>MAX(15, ROUND(TREND(G$3:G$94, E$3:E$94, E8), 1))</f>
        <v/>
      </c>
      <c r="L8" s="19">
        <f>MAX(15, ROUND(TREND(G$3:G$94, B$3:E$94, B8:E8), 1))</f>
        <v/>
      </c>
      <c r="M8" s="19">
        <f>MAX(15, ROUND(TREND(G$3:G$94, B$3:F$94, B8:F8), 1))</f>
        <v/>
      </c>
      <c r="N8" s="19">
        <f>M8*IF(F8=1, 0.85, 0.8)</f>
        <v/>
      </c>
      <c r="O8" s="18">
        <f>MAX(0, INT(N8/(18*0.96)))</f>
        <v/>
      </c>
      <c r="P8" s="18">
        <f>MAX(0, ROUND(O8*70%, 0))</f>
        <v/>
      </c>
      <c r="Q8" s="18">
        <f>MAX(0, MIN(ROUNDUP(O8*0.2, 0), MAX(0, O8 - P8)))</f>
        <v/>
      </c>
      <c r="R8" s="14">
        <f>IF(C8&gt;20, "Hủy slot (Mưa &gt; 20mm)", "Kích hoạt")</f>
        <v/>
      </c>
      <c r="S8" s="18">
        <f>IF(C8&gt;20, 0, Q8)</f>
        <v/>
      </c>
      <c r="T8" s="18">
        <f>IF(C8&gt;20, Q8*0.2*W8, 0)</f>
        <v/>
      </c>
      <c r="U8" s="18">
        <f>MAX(0, J8 - P8 - S8)</f>
        <v/>
      </c>
      <c r="V8" s="18">
        <f>P8 + S8 + U8</f>
        <v/>
      </c>
      <c r="W8" s="18">
        <f>IF(OR(B8&gt;=34, F8=1), 11700000, 9000000)</f>
        <v/>
      </c>
      <c r="X8" s="17" t="n">
        <v>0.02</v>
      </c>
      <c r="Y8" s="18">
        <f>AVERAGE(J5:J7)</f>
        <v/>
      </c>
      <c r="Z8" s="18">
        <f>ABS(J8 - Y8)</f>
        <v/>
      </c>
      <c r="AA8" s="18">
        <f>IF(Y8="", 0, IF(Y8&gt;J8, (Y8-J8)*2700000, 0))</f>
        <v/>
      </c>
      <c r="AB8" s="18">
        <f>IF(Y8="", 0, IF(J8&gt;Y8, (J8-Y8)*6000000, 0))</f>
        <v/>
      </c>
      <c r="AC8" s="18">
        <f>AA8 + AB8</f>
        <v/>
      </c>
      <c r="AD8" s="18">
        <f>ABS(V8 - J8)</f>
        <v/>
      </c>
      <c r="AE8" s="18">
        <f>IF(V8&gt;J8, (V8-J8)*2700000, 0)</f>
        <v/>
      </c>
      <c r="AF8" s="18">
        <f>IF(J8&gt;V8, (J8-V8)*6000000, 0)</f>
        <v/>
      </c>
      <c r="AG8" s="18">
        <f>AE8 + AF8 + T8</f>
        <v/>
      </c>
    </row>
    <row r="9">
      <c r="A9" s="14" t="inlineStr">
        <is>
          <t>Ngày 07 (07/05)</t>
        </is>
      </c>
      <c r="B9" s="15" t="n">
        <v>31.4</v>
      </c>
      <c r="C9" s="15" t="n">
        <v>7</v>
      </c>
      <c r="D9" s="16" t="n">
        <v>0.153</v>
      </c>
      <c r="E9" s="17" t="n">
        <v>73</v>
      </c>
      <c r="F9" s="18" t="n">
        <v>1</v>
      </c>
      <c r="G9" s="19" t="n">
        <v>121</v>
      </c>
      <c r="H9" s="19">
        <f>G9*IF(F9=1, 0.85, 0.8)</f>
        <v/>
      </c>
      <c r="I9" s="14" t="inlineStr">
        <is>
          <t>2-4</t>
        </is>
      </c>
      <c r="J9" s="18">
        <f>INT(H9/(18*0.96))</f>
        <v/>
      </c>
      <c r="K9" s="19">
        <f>MAX(15, ROUND(TREND(G$3:G$94, E$3:E$94, E9), 1))</f>
        <v/>
      </c>
      <c r="L9" s="19">
        <f>MAX(15, ROUND(TREND(G$3:G$94, B$3:E$94, B9:E9), 1))</f>
        <v/>
      </c>
      <c r="M9" s="19">
        <f>MAX(15, ROUND(TREND(G$3:G$94, B$3:F$94, B9:F9), 1))</f>
        <v/>
      </c>
      <c r="N9" s="19">
        <f>M9*IF(F9=1, 0.85, 0.8)</f>
        <v/>
      </c>
      <c r="O9" s="18">
        <f>MAX(0, INT(N9/(18*0.96)))</f>
        <v/>
      </c>
      <c r="P9" s="18">
        <f>MAX(0, ROUND(O9*70%, 0))</f>
        <v/>
      </c>
      <c r="Q9" s="18">
        <f>MAX(0, MIN(ROUNDUP(O9*0.2, 0), MAX(0, O9 - P9)))</f>
        <v/>
      </c>
      <c r="R9" s="14">
        <f>IF(C9&gt;20, "Hủy slot (Mưa &gt; 20mm)", "Kích hoạt")</f>
        <v/>
      </c>
      <c r="S9" s="18">
        <f>IF(C9&gt;20, 0, Q9)</f>
        <v/>
      </c>
      <c r="T9" s="18">
        <f>IF(C9&gt;20, Q9*0.2*W9, 0)</f>
        <v/>
      </c>
      <c r="U9" s="18">
        <f>MAX(0, J9 - P9 - S9)</f>
        <v/>
      </c>
      <c r="V9" s="18">
        <f>P9 + S9 + U9</f>
        <v/>
      </c>
      <c r="W9" s="18">
        <f>IF(OR(B9&gt;=34, F9=1), 11700000, 9000000)</f>
        <v/>
      </c>
      <c r="X9" s="17" t="n">
        <v>0.02</v>
      </c>
      <c r="Y9" s="18">
        <f>AVERAGE(J6:J8)</f>
        <v/>
      </c>
      <c r="Z9" s="18">
        <f>ABS(J9 - Y9)</f>
        <v/>
      </c>
      <c r="AA9" s="18">
        <f>IF(Y9="", 0, IF(Y9&gt;J9, (Y9-J9)*2700000, 0))</f>
        <v/>
      </c>
      <c r="AB9" s="18">
        <f>IF(Y9="", 0, IF(J9&gt;Y9, (J9-Y9)*6000000, 0))</f>
        <v/>
      </c>
      <c r="AC9" s="18">
        <f>AA9 + AB9</f>
        <v/>
      </c>
      <c r="AD9" s="18">
        <f>ABS(V9 - J9)</f>
        <v/>
      </c>
      <c r="AE9" s="18">
        <f>IF(V9&gt;J9, (V9-J9)*2700000, 0)</f>
        <v/>
      </c>
      <c r="AF9" s="18">
        <f>IF(J9&gt;V9, (J9-V9)*6000000, 0)</f>
        <v/>
      </c>
      <c r="AG9" s="18">
        <f>AE9 + AF9 + T9</f>
        <v/>
      </c>
    </row>
    <row r="10">
      <c r="A10" s="14" t="inlineStr">
        <is>
          <t>Ngày 08 (08/05)</t>
        </is>
      </c>
      <c r="B10" s="15" t="n">
        <v>29.4</v>
      </c>
      <c r="C10" s="15" t="n">
        <v>10.4</v>
      </c>
      <c r="D10" s="16" t="n">
        <v>0.168</v>
      </c>
      <c r="E10" s="17" t="n">
        <v>94.90000000000001</v>
      </c>
      <c r="F10" s="18" t="n">
        <v>1</v>
      </c>
      <c r="G10" s="19" t="n">
        <v>87.2</v>
      </c>
      <c r="H10" s="19">
        <f>G10*IF(F10=1, 0.85, 0.8)</f>
        <v/>
      </c>
      <c r="I10" s="14" t="inlineStr">
        <is>
          <t>2-4</t>
        </is>
      </c>
      <c r="J10" s="18">
        <f>INT(H10/(18*0.96))</f>
        <v/>
      </c>
      <c r="K10" s="19">
        <f>MAX(15, ROUND(TREND(G$3:G$94, E$3:E$94, E10), 1))</f>
        <v/>
      </c>
      <c r="L10" s="19">
        <f>MAX(15, ROUND(TREND(G$3:G$94, B$3:E$94, B10:E10), 1))</f>
        <v/>
      </c>
      <c r="M10" s="19">
        <f>MAX(15, ROUND(TREND(G$3:G$94, B$3:F$94, B10:F10), 1))</f>
        <v/>
      </c>
      <c r="N10" s="19">
        <f>M10*IF(F10=1, 0.85, 0.8)</f>
        <v/>
      </c>
      <c r="O10" s="18">
        <f>MAX(0, INT(N10/(18*0.96)))</f>
        <v/>
      </c>
      <c r="P10" s="18">
        <f>MAX(0, ROUND(O10*70%, 0))</f>
        <v/>
      </c>
      <c r="Q10" s="18">
        <f>MAX(0, MIN(ROUNDUP(O10*0.2, 0), MAX(0, O10 - P10)))</f>
        <v/>
      </c>
      <c r="R10" s="14">
        <f>IF(C10&gt;20, "Hủy slot (Mưa &gt; 20mm)", "Kích hoạt")</f>
        <v/>
      </c>
      <c r="S10" s="18">
        <f>IF(C10&gt;20, 0, Q10)</f>
        <v/>
      </c>
      <c r="T10" s="18">
        <f>IF(C10&gt;20, Q10*0.2*W10, 0)</f>
        <v/>
      </c>
      <c r="U10" s="18">
        <f>MAX(0, J10 - P10 - S10)</f>
        <v/>
      </c>
      <c r="V10" s="18">
        <f>P10 + S10 + U10</f>
        <v/>
      </c>
      <c r="W10" s="18">
        <f>IF(OR(B10&gt;=34, F10=1), 11700000, 9000000)</f>
        <v/>
      </c>
      <c r="X10" s="17" t="n">
        <v>0.02</v>
      </c>
      <c r="Y10" s="18">
        <f>AVERAGE(J7:J9)</f>
        <v/>
      </c>
      <c r="Z10" s="18">
        <f>ABS(J10 - Y10)</f>
        <v/>
      </c>
      <c r="AA10" s="18">
        <f>IF(Y10="", 0, IF(Y10&gt;J10, (Y10-J10)*2700000, 0))</f>
        <v/>
      </c>
      <c r="AB10" s="18">
        <f>IF(Y10="", 0, IF(J10&gt;Y10, (J10-Y10)*6000000, 0))</f>
        <v/>
      </c>
      <c r="AC10" s="18">
        <f>AA10 + AB10</f>
        <v/>
      </c>
      <c r="AD10" s="18">
        <f>ABS(V10 - J10)</f>
        <v/>
      </c>
      <c r="AE10" s="18">
        <f>IF(V10&gt;J10, (V10-J10)*2700000, 0)</f>
        <v/>
      </c>
      <c r="AF10" s="18">
        <f>IF(J10&gt;V10, (J10-V10)*6000000, 0)</f>
        <v/>
      </c>
      <c r="AG10" s="18">
        <f>AE10 + AF10 + T10</f>
        <v/>
      </c>
    </row>
    <row r="11">
      <c r="A11" s="14" t="inlineStr">
        <is>
          <t>Ngày 09 (09/05)</t>
        </is>
      </c>
      <c r="B11" s="15" t="n">
        <v>29</v>
      </c>
      <c r="C11" s="15" t="n">
        <v>0.8</v>
      </c>
      <c r="D11" s="16" t="n">
        <v>0.175</v>
      </c>
      <c r="E11" s="17" t="n">
        <v>72.7</v>
      </c>
      <c r="F11" s="18" t="n">
        <v>0</v>
      </c>
      <c r="G11" s="19" t="n">
        <v>65.5</v>
      </c>
      <c r="H11" s="19">
        <f>G11*IF(F11=1, 0.85, 0.8)</f>
        <v/>
      </c>
      <c r="I11" s="14" t="inlineStr">
        <is>
          <t>2-4</t>
        </is>
      </c>
      <c r="J11" s="18">
        <f>INT(H11/(18*0.96))</f>
        <v/>
      </c>
      <c r="K11" s="19">
        <f>MAX(15, ROUND(TREND(G$3:G$94, E$3:E$94, E11), 1))</f>
        <v/>
      </c>
      <c r="L11" s="19">
        <f>MAX(15, ROUND(TREND(G$3:G$94, B$3:E$94, B11:E11), 1))</f>
        <v/>
      </c>
      <c r="M11" s="19">
        <f>MAX(15, ROUND(TREND(G$3:G$94, B$3:F$94, B11:F11), 1))</f>
        <v/>
      </c>
      <c r="N11" s="19">
        <f>M11*IF(F11=1, 0.85, 0.8)</f>
        <v/>
      </c>
      <c r="O11" s="18">
        <f>MAX(0, INT(N11/(18*0.96)))</f>
        <v/>
      </c>
      <c r="P11" s="18">
        <f>MAX(0, ROUND(O11*70%, 0))</f>
        <v/>
      </c>
      <c r="Q11" s="18">
        <f>MAX(0, MIN(ROUNDUP(O11*0.2, 0), MAX(0, O11 - P11)))</f>
        <v/>
      </c>
      <c r="R11" s="14">
        <f>IF(C11&gt;20, "Hủy slot (Mưa &gt; 20mm)", "Kích hoạt")</f>
        <v/>
      </c>
      <c r="S11" s="18">
        <f>IF(C11&gt;20, 0, Q11)</f>
        <v/>
      </c>
      <c r="T11" s="18">
        <f>IF(C11&gt;20, Q11*0.2*W11, 0)</f>
        <v/>
      </c>
      <c r="U11" s="18">
        <f>MAX(0, J11 - P11 - S11)</f>
        <v/>
      </c>
      <c r="V11" s="18">
        <f>P11 + S11 + U11</f>
        <v/>
      </c>
      <c r="W11" s="18">
        <f>IF(OR(B11&gt;=34, F11=1), 11700000, 9000000)</f>
        <v/>
      </c>
      <c r="X11" s="17" t="n">
        <v>0.02</v>
      </c>
      <c r="Y11" s="18">
        <f>AVERAGE(J8:J10)</f>
        <v/>
      </c>
      <c r="Z11" s="18">
        <f>ABS(J11 - Y11)</f>
        <v/>
      </c>
      <c r="AA11" s="18">
        <f>IF(Y11="", 0, IF(Y11&gt;J11, (Y11-J11)*2700000, 0))</f>
        <v/>
      </c>
      <c r="AB11" s="18">
        <f>IF(Y11="", 0, IF(J11&gt;Y11, (J11-Y11)*6000000, 0))</f>
        <v/>
      </c>
      <c r="AC11" s="18">
        <f>AA11 + AB11</f>
        <v/>
      </c>
      <c r="AD11" s="18">
        <f>ABS(V11 - J11)</f>
        <v/>
      </c>
      <c r="AE11" s="18">
        <f>IF(V11&gt;J11, (V11-J11)*2700000, 0)</f>
        <v/>
      </c>
      <c r="AF11" s="18">
        <f>IF(J11&gt;V11, (J11-V11)*6000000, 0)</f>
        <v/>
      </c>
      <c r="AG11" s="18">
        <f>AE11 + AF11 + T11</f>
        <v/>
      </c>
    </row>
    <row r="12">
      <c r="A12" s="14" t="inlineStr">
        <is>
          <t>Ngày 10 (10/05)</t>
        </is>
      </c>
      <c r="B12" s="15" t="n">
        <v>29.6</v>
      </c>
      <c r="C12" s="15" t="n">
        <v>0</v>
      </c>
      <c r="D12" s="16" t="n">
        <v>0.192</v>
      </c>
      <c r="E12" s="17" t="n">
        <v>73.3</v>
      </c>
      <c r="F12" s="18" t="n">
        <v>0</v>
      </c>
      <c r="G12" s="19" t="n">
        <v>80.59999999999999</v>
      </c>
      <c r="H12" s="19">
        <f>G12*IF(F12=1, 0.85, 0.8)</f>
        <v/>
      </c>
      <c r="I12" s="14" t="inlineStr">
        <is>
          <t>2-4</t>
        </is>
      </c>
      <c r="J12" s="18">
        <f>INT(H12/(18*0.96))</f>
        <v/>
      </c>
      <c r="K12" s="19">
        <f>MAX(15, ROUND(TREND(G$3:G$94, E$3:E$94, E12), 1))</f>
        <v/>
      </c>
      <c r="L12" s="19">
        <f>MAX(15, ROUND(TREND(G$3:G$94, B$3:E$94, B12:E12), 1))</f>
        <v/>
      </c>
      <c r="M12" s="19">
        <f>MAX(15, ROUND(TREND(G$3:G$94, B$3:F$94, B12:F12), 1))</f>
        <v/>
      </c>
      <c r="N12" s="19">
        <f>M12*IF(F12=1, 0.85, 0.8)</f>
        <v/>
      </c>
      <c r="O12" s="18">
        <f>MAX(0, INT(N12/(18*0.96)))</f>
        <v/>
      </c>
      <c r="P12" s="18">
        <f>MAX(0, ROUND(O12*70%, 0))</f>
        <v/>
      </c>
      <c r="Q12" s="18">
        <f>MAX(0, MIN(ROUNDUP(O12*0.2, 0), MAX(0, O12 - P12)))</f>
        <v/>
      </c>
      <c r="R12" s="14">
        <f>IF(C12&gt;20, "Hủy slot (Mưa &gt; 20mm)", "Kích hoạt")</f>
        <v/>
      </c>
      <c r="S12" s="18">
        <f>IF(C12&gt;20, 0, Q12)</f>
        <v/>
      </c>
      <c r="T12" s="18">
        <f>IF(C12&gt;20, Q12*0.2*W12, 0)</f>
        <v/>
      </c>
      <c r="U12" s="18">
        <f>MAX(0, J12 - P12 - S12)</f>
        <v/>
      </c>
      <c r="V12" s="18">
        <f>P12 + S12 + U12</f>
        <v/>
      </c>
      <c r="W12" s="18">
        <f>IF(OR(B12&gt;=34, F12=1), 11700000, 9000000)</f>
        <v/>
      </c>
      <c r="X12" s="17" t="n">
        <v>0.02</v>
      </c>
      <c r="Y12" s="18">
        <f>AVERAGE(J9:J11)</f>
        <v/>
      </c>
      <c r="Z12" s="18">
        <f>ABS(J12 - Y12)</f>
        <v/>
      </c>
      <c r="AA12" s="18">
        <f>IF(Y12="", 0, IF(Y12&gt;J12, (Y12-J12)*2700000, 0))</f>
        <v/>
      </c>
      <c r="AB12" s="18">
        <f>IF(Y12="", 0, IF(J12&gt;Y12, (J12-Y12)*6000000, 0))</f>
        <v/>
      </c>
      <c r="AC12" s="18">
        <f>AA12 + AB12</f>
        <v/>
      </c>
      <c r="AD12" s="18">
        <f>ABS(V12 - J12)</f>
        <v/>
      </c>
      <c r="AE12" s="18">
        <f>IF(V12&gt;J12, (V12-J12)*2700000, 0)</f>
        <v/>
      </c>
      <c r="AF12" s="18">
        <f>IF(J12&gt;V12, (J12-V12)*6000000, 0)</f>
        <v/>
      </c>
      <c r="AG12" s="18">
        <f>AE12 + AF12 + T12</f>
        <v/>
      </c>
    </row>
    <row r="13">
      <c r="A13" s="14" t="inlineStr">
        <is>
          <t>Ngày 11 (11/05)</t>
        </is>
      </c>
      <c r="B13" s="15" t="n">
        <v>31.8</v>
      </c>
      <c r="C13" s="15" t="n">
        <v>1.5</v>
      </c>
      <c r="D13" s="16" t="n">
        <v>0.194</v>
      </c>
      <c r="E13" s="17" t="n">
        <v>105.9</v>
      </c>
      <c r="F13" s="18" t="n">
        <v>0</v>
      </c>
      <c r="G13" s="19" t="n">
        <v>110.4</v>
      </c>
      <c r="H13" s="19">
        <f>G13*IF(F13=1, 0.85, 0.8)</f>
        <v/>
      </c>
      <c r="I13" s="14" t="inlineStr">
        <is>
          <t>2-4</t>
        </is>
      </c>
      <c r="J13" s="18">
        <f>INT(H13/(18*0.96))</f>
        <v/>
      </c>
      <c r="K13" s="19">
        <f>MAX(15, ROUND(TREND(G$3:G$94, E$3:E$94, E13), 1))</f>
        <v/>
      </c>
      <c r="L13" s="19">
        <f>MAX(15, ROUND(TREND(G$3:G$94, B$3:E$94, B13:E13), 1))</f>
        <v/>
      </c>
      <c r="M13" s="19">
        <f>MAX(15, ROUND(TREND(G$3:G$94, B$3:F$94, B13:F13), 1))</f>
        <v/>
      </c>
      <c r="N13" s="19">
        <f>M13*IF(F13=1, 0.85, 0.8)</f>
        <v/>
      </c>
      <c r="O13" s="18">
        <f>MAX(0, INT(N13/(18*0.96)))</f>
        <v/>
      </c>
      <c r="P13" s="18">
        <f>MAX(0, ROUND(O13*70%, 0))</f>
        <v/>
      </c>
      <c r="Q13" s="18">
        <f>MAX(0, MIN(ROUNDUP(O13*0.2, 0), MAX(0, O13 - P13)))</f>
        <v/>
      </c>
      <c r="R13" s="14">
        <f>IF(C13&gt;20, "Hủy slot (Mưa &gt; 20mm)", "Kích hoạt")</f>
        <v/>
      </c>
      <c r="S13" s="18">
        <f>IF(C13&gt;20, 0, Q13)</f>
        <v/>
      </c>
      <c r="T13" s="18">
        <f>IF(C13&gt;20, Q13*0.2*W13, 0)</f>
        <v/>
      </c>
      <c r="U13" s="18">
        <f>MAX(0, J13 - P13 - S13)</f>
        <v/>
      </c>
      <c r="V13" s="18">
        <f>P13 + S13 + U13</f>
        <v/>
      </c>
      <c r="W13" s="18">
        <f>IF(OR(B13&gt;=34, F13=1), 11700000, 9000000)</f>
        <v/>
      </c>
      <c r="X13" s="17" t="n">
        <v>0.02</v>
      </c>
      <c r="Y13" s="18">
        <f>AVERAGE(J10:J12)</f>
        <v/>
      </c>
      <c r="Z13" s="18">
        <f>ABS(J13 - Y13)</f>
        <v/>
      </c>
      <c r="AA13" s="18">
        <f>IF(Y13="", 0, IF(Y13&gt;J13, (Y13-J13)*2700000, 0))</f>
        <v/>
      </c>
      <c r="AB13" s="18">
        <f>IF(Y13="", 0, IF(J13&gt;Y13, (J13-Y13)*6000000, 0))</f>
        <v/>
      </c>
      <c r="AC13" s="18">
        <f>AA13 + AB13</f>
        <v/>
      </c>
      <c r="AD13" s="18">
        <f>ABS(V13 - J13)</f>
        <v/>
      </c>
      <c r="AE13" s="18">
        <f>IF(V13&gt;J13, (V13-J13)*2700000, 0)</f>
        <v/>
      </c>
      <c r="AF13" s="18">
        <f>IF(J13&gt;V13, (J13-V13)*6000000, 0)</f>
        <v/>
      </c>
      <c r="AG13" s="18">
        <f>AE13 + AF13 + T13</f>
        <v/>
      </c>
    </row>
    <row r="14">
      <c r="A14" s="14" t="inlineStr">
        <is>
          <t>Ngày 12 (12/05)</t>
        </is>
      </c>
      <c r="B14" s="15" t="n">
        <v>32.3</v>
      </c>
      <c r="C14" s="15" t="n">
        <v>1.1</v>
      </c>
      <c r="D14" s="16" t="n">
        <v>0.201</v>
      </c>
      <c r="E14" s="17" t="n">
        <v>103.8</v>
      </c>
      <c r="F14" s="18" t="n">
        <v>0</v>
      </c>
      <c r="G14" s="19" t="n">
        <v>103.9</v>
      </c>
      <c r="H14" s="19">
        <f>G14*IF(F14=1, 0.85, 0.8)</f>
        <v/>
      </c>
      <c r="I14" s="14" t="inlineStr">
        <is>
          <t>2-4</t>
        </is>
      </c>
      <c r="J14" s="18">
        <f>INT(H14/(18*0.96))</f>
        <v/>
      </c>
      <c r="K14" s="19">
        <f>MAX(15, ROUND(TREND(G$3:G$94, E$3:E$94, E14), 1))</f>
        <v/>
      </c>
      <c r="L14" s="19">
        <f>MAX(15, ROUND(TREND(G$3:G$94, B$3:E$94, B14:E14), 1))</f>
        <v/>
      </c>
      <c r="M14" s="19">
        <f>MAX(15, ROUND(TREND(G$3:G$94, B$3:F$94, B14:F14), 1))</f>
        <v/>
      </c>
      <c r="N14" s="19">
        <f>M14*IF(F14=1, 0.85, 0.8)</f>
        <v/>
      </c>
      <c r="O14" s="18">
        <f>MAX(0, INT(N14/(18*0.96)))</f>
        <v/>
      </c>
      <c r="P14" s="18">
        <f>MAX(0, ROUND(O14*70%, 0))</f>
        <v/>
      </c>
      <c r="Q14" s="18">
        <f>MAX(0, MIN(ROUNDUP(O14*0.2, 0), MAX(0, O14 - P14)))</f>
        <v/>
      </c>
      <c r="R14" s="14">
        <f>IF(C14&gt;20, "Hủy slot (Mưa &gt; 20mm)", "Kích hoạt")</f>
        <v/>
      </c>
      <c r="S14" s="18">
        <f>IF(C14&gt;20, 0, Q14)</f>
        <v/>
      </c>
      <c r="T14" s="18">
        <f>IF(C14&gt;20, Q14*0.2*W14, 0)</f>
        <v/>
      </c>
      <c r="U14" s="18">
        <f>MAX(0, J14 - P14 - S14)</f>
        <v/>
      </c>
      <c r="V14" s="18">
        <f>P14 + S14 + U14</f>
        <v/>
      </c>
      <c r="W14" s="18">
        <f>IF(OR(B14&gt;=34, F14=1), 11700000, 9000000)</f>
        <v/>
      </c>
      <c r="X14" s="17" t="n">
        <v>0.02</v>
      </c>
      <c r="Y14" s="18">
        <f>AVERAGE(J11:J13)</f>
        <v/>
      </c>
      <c r="Z14" s="18">
        <f>ABS(J14 - Y14)</f>
        <v/>
      </c>
      <c r="AA14" s="18">
        <f>IF(Y14="", 0, IF(Y14&gt;J14, (Y14-J14)*2700000, 0))</f>
        <v/>
      </c>
      <c r="AB14" s="18">
        <f>IF(Y14="", 0, IF(J14&gt;Y14, (J14-Y14)*6000000, 0))</f>
        <v/>
      </c>
      <c r="AC14" s="18">
        <f>AA14 + AB14</f>
        <v/>
      </c>
      <c r="AD14" s="18">
        <f>ABS(V14 - J14)</f>
        <v/>
      </c>
      <c r="AE14" s="18">
        <f>IF(V14&gt;J14, (V14-J14)*2700000, 0)</f>
        <v/>
      </c>
      <c r="AF14" s="18">
        <f>IF(J14&gt;V14, (J14-V14)*6000000, 0)</f>
        <v/>
      </c>
      <c r="AG14" s="18">
        <f>AE14 + AF14 + T14</f>
        <v/>
      </c>
    </row>
    <row r="15">
      <c r="A15" s="14" t="inlineStr">
        <is>
          <t>Ngày 13 (13/05)</t>
        </is>
      </c>
      <c r="B15" s="15" t="n">
        <v>32.4</v>
      </c>
      <c r="C15" s="15" t="n">
        <v>1.2</v>
      </c>
      <c r="D15" s="16" t="n">
        <v>0.222</v>
      </c>
      <c r="E15" s="17" t="n">
        <v>84.40000000000001</v>
      </c>
      <c r="F15" s="18" t="n">
        <v>0</v>
      </c>
      <c r="G15" s="19" t="n">
        <v>99.59999999999999</v>
      </c>
      <c r="H15" s="19">
        <f>G15*IF(F15=1, 0.85, 0.8)</f>
        <v/>
      </c>
      <c r="I15" s="14" t="inlineStr">
        <is>
          <t>2-4</t>
        </is>
      </c>
      <c r="J15" s="18">
        <f>INT(H15/(18*0.96))</f>
        <v/>
      </c>
      <c r="K15" s="19">
        <f>MAX(15, ROUND(TREND(G$3:G$94, E$3:E$94, E15), 1))</f>
        <v/>
      </c>
      <c r="L15" s="19">
        <f>MAX(15, ROUND(TREND(G$3:G$94, B$3:E$94, B15:E15), 1))</f>
        <v/>
      </c>
      <c r="M15" s="19">
        <f>MAX(15, ROUND(TREND(G$3:G$94, B$3:F$94, B15:F15), 1))</f>
        <v/>
      </c>
      <c r="N15" s="19">
        <f>M15*IF(F15=1, 0.85, 0.8)</f>
        <v/>
      </c>
      <c r="O15" s="18">
        <f>MAX(0, INT(N15/(18*0.96)))</f>
        <v/>
      </c>
      <c r="P15" s="18">
        <f>MAX(0, ROUND(O15*70%, 0))</f>
        <v/>
      </c>
      <c r="Q15" s="18">
        <f>MAX(0, MIN(ROUNDUP(O15*0.2, 0), MAX(0, O15 - P15)))</f>
        <v/>
      </c>
      <c r="R15" s="14">
        <f>IF(C15&gt;20, "Hủy slot (Mưa &gt; 20mm)", "Kích hoạt")</f>
        <v/>
      </c>
      <c r="S15" s="18">
        <f>IF(C15&gt;20, 0, Q15)</f>
        <v/>
      </c>
      <c r="T15" s="18">
        <f>IF(C15&gt;20, Q15*0.2*W15, 0)</f>
        <v/>
      </c>
      <c r="U15" s="18">
        <f>MAX(0, J15 - P15 - S15)</f>
        <v/>
      </c>
      <c r="V15" s="18">
        <f>P15 + S15 + U15</f>
        <v/>
      </c>
      <c r="W15" s="18">
        <f>IF(OR(B15&gt;=34, F15=1), 11700000, 9000000)</f>
        <v/>
      </c>
      <c r="X15" s="17" t="n">
        <v>0.02</v>
      </c>
      <c r="Y15" s="18">
        <f>AVERAGE(J12:J14)</f>
        <v/>
      </c>
      <c r="Z15" s="18">
        <f>ABS(J15 - Y15)</f>
        <v/>
      </c>
      <c r="AA15" s="18">
        <f>IF(Y15="", 0, IF(Y15&gt;J15, (Y15-J15)*2700000, 0))</f>
        <v/>
      </c>
      <c r="AB15" s="18">
        <f>IF(Y15="", 0, IF(J15&gt;Y15, (J15-Y15)*6000000, 0))</f>
        <v/>
      </c>
      <c r="AC15" s="18">
        <f>AA15 + AB15</f>
        <v/>
      </c>
      <c r="AD15" s="18">
        <f>ABS(V15 - J15)</f>
        <v/>
      </c>
      <c r="AE15" s="18">
        <f>IF(V15&gt;J15, (V15-J15)*2700000, 0)</f>
        <v/>
      </c>
      <c r="AF15" s="18">
        <f>IF(J15&gt;V15, (J15-V15)*6000000, 0)</f>
        <v/>
      </c>
      <c r="AG15" s="18">
        <f>AE15 + AF15 + T15</f>
        <v/>
      </c>
    </row>
    <row r="16">
      <c r="A16" s="14" t="inlineStr">
        <is>
          <t>Ngày 14 (14/05)</t>
        </is>
      </c>
      <c r="B16" s="15" t="n">
        <v>34.6</v>
      </c>
      <c r="C16" s="15" t="n">
        <v>0</v>
      </c>
      <c r="D16" s="16" t="n">
        <v>0.233</v>
      </c>
      <c r="E16" s="17" t="n">
        <v>150.1</v>
      </c>
      <c r="F16" s="18" t="n">
        <v>1</v>
      </c>
      <c r="G16" s="19" t="n">
        <v>189</v>
      </c>
      <c r="H16" s="19">
        <f>G16*IF(F16=1, 0.85, 0.8)</f>
        <v/>
      </c>
      <c r="I16" s="14" t="inlineStr">
        <is>
          <t>2-4</t>
        </is>
      </c>
      <c r="J16" s="18">
        <f>INT(H16/(18*0.96))</f>
        <v/>
      </c>
      <c r="K16" s="19">
        <f>MAX(15, ROUND(TREND(G$3:G$94, E$3:E$94, E16), 1))</f>
        <v/>
      </c>
      <c r="L16" s="19">
        <f>MAX(15, ROUND(TREND(G$3:G$94, B$3:E$94, B16:E16), 1))</f>
        <v/>
      </c>
      <c r="M16" s="19">
        <f>MAX(15, ROUND(TREND(G$3:G$94, B$3:F$94, B16:F16), 1))</f>
        <v/>
      </c>
      <c r="N16" s="19">
        <f>M16*IF(F16=1, 0.85, 0.8)</f>
        <v/>
      </c>
      <c r="O16" s="18">
        <f>MAX(0, INT(N16/(18*0.96)))</f>
        <v/>
      </c>
      <c r="P16" s="18">
        <f>MAX(0, ROUND(O16*70%, 0))</f>
        <v/>
      </c>
      <c r="Q16" s="18">
        <f>MAX(0, MIN(ROUNDUP(O16*0.2, 0), MAX(0, O16 - P16)))</f>
        <v/>
      </c>
      <c r="R16" s="14">
        <f>IF(C16&gt;20, "Hủy slot (Mưa &gt; 20mm)", "Kích hoạt")</f>
        <v/>
      </c>
      <c r="S16" s="18">
        <f>IF(C16&gt;20, 0, Q16)</f>
        <v/>
      </c>
      <c r="T16" s="18">
        <f>IF(C16&gt;20, Q16*0.2*W16, 0)</f>
        <v/>
      </c>
      <c r="U16" s="18">
        <f>MAX(0, J16 - P16 - S16)</f>
        <v/>
      </c>
      <c r="V16" s="18">
        <f>P16 + S16 + U16</f>
        <v/>
      </c>
      <c r="W16" s="18">
        <f>IF(OR(B16&gt;=34, F16=1), 11700000, 9000000)</f>
        <v/>
      </c>
      <c r="X16" s="17" t="n">
        <v>0.02</v>
      </c>
      <c r="Y16" s="18">
        <f>AVERAGE(J13:J15)</f>
        <v/>
      </c>
      <c r="Z16" s="18">
        <f>ABS(J16 - Y16)</f>
        <v/>
      </c>
      <c r="AA16" s="18">
        <f>IF(Y16="", 0, IF(Y16&gt;J16, (Y16-J16)*2700000, 0))</f>
        <v/>
      </c>
      <c r="AB16" s="18">
        <f>IF(Y16="", 0, IF(J16&gt;Y16, (J16-Y16)*6000000, 0))</f>
        <v/>
      </c>
      <c r="AC16" s="18">
        <f>AA16 + AB16</f>
        <v/>
      </c>
      <c r="AD16" s="18">
        <f>ABS(V16 - J16)</f>
        <v/>
      </c>
      <c r="AE16" s="18">
        <f>IF(V16&gt;J16, (V16-J16)*2700000, 0)</f>
        <v/>
      </c>
      <c r="AF16" s="18">
        <f>IF(J16&gt;V16, (J16-V16)*6000000, 0)</f>
        <v/>
      </c>
      <c r="AG16" s="18">
        <f>AE16 + AF16 + T16</f>
        <v/>
      </c>
    </row>
    <row r="17">
      <c r="A17" s="14" t="inlineStr">
        <is>
          <t>Ngày 15 (15/05)</t>
        </is>
      </c>
      <c r="B17" s="15" t="n">
        <v>34.6</v>
      </c>
      <c r="C17" s="15" t="n">
        <v>0.1</v>
      </c>
      <c r="D17" s="16" t="n">
        <v>0.242</v>
      </c>
      <c r="E17" s="17" t="n">
        <v>148.5</v>
      </c>
      <c r="F17" s="18" t="n">
        <v>1</v>
      </c>
      <c r="G17" s="19" t="n">
        <v>177.6</v>
      </c>
      <c r="H17" s="19">
        <f>G17*IF(F17=1, 0.85, 0.8)</f>
        <v/>
      </c>
      <c r="I17" s="14" t="inlineStr">
        <is>
          <t>2-4</t>
        </is>
      </c>
      <c r="J17" s="18">
        <f>INT(H17/(18*0.96))</f>
        <v/>
      </c>
      <c r="K17" s="19">
        <f>MAX(15, ROUND(TREND(G$3:G$94, E$3:E$94, E17), 1))</f>
        <v/>
      </c>
      <c r="L17" s="19">
        <f>MAX(15, ROUND(TREND(G$3:G$94, B$3:E$94, B17:E17), 1))</f>
        <v/>
      </c>
      <c r="M17" s="19">
        <f>MAX(15, ROUND(TREND(G$3:G$94, B$3:F$94, B17:F17), 1))</f>
        <v/>
      </c>
      <c r="N17" s="19">
        <f>M17*IF(F17=1, 0.85, 0.8)</f>
        <v/>
      </c>
      <c r="O17" s="18">
        <f>MAX(0, INT(N17/(18*0.96)))</f>
        <v/>
      </c>
      <c r="P17" s="18">
        <f>MAX(0, ROUND(O17*70%, 0))</f>
        <v/>
      </c>
      <c r="Q17" s="18">
        <f>MAX(0, MIN(ROUNDUP(O17*0.2, 0), MAX(0, O17 - P17)))</f>
        <v/>
      </c>
      <c r="R17" s="14">
        <f>IF(C17&gt;20, "Hủy slot (Mưa &gt; 20mm)", "Kích hoạt")</f>
        <v/>
      </c>
      <c r="S17" s="18">
        <f>IF(C17&gt;20, 0, Q17)</f>
        <v/>
      </c>
      <c r="T17" s="18">
        <f>IF(C17&gt;20, Q17*0.2*W17, 0)</f>
        <v/>
      </c>
      <c r="U17" s="18">
        <f>MAX(0, J17 - P17 - S17)</f>
        <v/>
      </c>
      <c r="V17" s="18">
        <f>P17 + S17 + U17</f>
        <v/>
      </c>
      <c r="W17" s="18">
        <f>IF(OR(B17&gt;=34, F17=1), 11700000, 9000000)</f>
        <v/>
      </c>
      <c r="X17" s="17" t="n">
        <v>0.02</v>
      </c>
      <c r="Y17" s="18">
        <f>AVERAGE(J14:J16)</f>
        <v/>
      </c>
      <c r="Z17" s="18">
        <f>ABS(J17 - Y17)</f>
        <v/>
      </c>
      <c r="AA17" s="18">
        <f>IF(Y17="", 0, IF(Y17&gt;J17, (Y17-J17)*2700000, 0))</f>
        <v/>
      </c>
      <c r="AB17" s="18">
        <f>IF(Y17="", 0, IF(J17&gt;Y17, (J17-Y17)*6000000, 0))</f>
        <v/>
      </c>
      <c r="AC17" s="18">
        <f>AA17 + AB17</f>
        <v/>
      </c>
      <c r="AD17" s="18">
        <f>ABS(V17 - J17)</f>
        <v/>
      </c>
      <c r="AE17" s="18">
        <f>IF(V17&gt;J17, (V17-J17)*2700000, 0)</f>
        <v/>
      </c>
      <c r="AF17" s="18">
        <f>IF(J17&gt;V17, (J17-V17)*6000000, 0)</f>
        <v/>
      </c>
      <c r="AG17" s="18">
        <f>AE17 + AF17 + T17</f>
        <v/>
      </c>
    </row>
    <row r="18">
      <c r="A18" s="14" t="inlineStr">
        <is>
          <t>Ngày 16 (16/05)</t>
        </is>
      </c>
      <c r="B18" s="15" t="n">
        <v>32.5</v>
      </c>
      <c r="C18" s="15" t="n">
        <v>7.5</v>
      </c>
      <c r="D18" s="16" t="n">
        <v>0.248</v>
      </c>
      <c r="E18" s="17" t="n">
        <v>126</v>
      </c>
      <c r="F18" s="18" t="n">
        <v>0</v>
      </c>
      <c r="G18" s="19" t="n">
        <v>148.7</v>
      </c>
      <c r="H18" s="19">
        <f>G18*IF(F18=1, 0.85, 0.8)</f>
        <v/>
      </c>
      <c r="I18" s="14" t="inlineStr">
        <is>
          <t>2-4</t>
        </is>
      </c>
      <c r="J18" s="18">
        <f>INT(H18/(18*0.96))</f>
        <v/>
      </c>
      <c r="K18" s="19">
        <f>MAX(15, ROUND(TREND(G$3:G$94, E$3:E$94, E18), 1))</f>
        <v/>
      </c>
      <c r="L18" s="19">
        <f>MAX(15, ROUND(TREND(G$3:G$94, B$3:E$94, B18:E18), 1))</f>
        <v/>
      </c>
      <c r="M18" s="19">
        <f>MAX(15, ROUND(TREND(G$3:G$94, B$3:F$94, B18:F18), 1))</f>
        <v/>
      </c>
      <c r="N18" s="19">
        <f>M18*IF(F18=1, 0.85, 0.8)</f>
        <v/>
      </c>
      <c r="O18" s="18">
        <f>MAX(0, INT(N18/(18*0.96)))</f>
        <v/>
      </c>
      <c r="P18" s="18">
        <f>MAX(0, ROUND(O18*70%, 0))</f>
        <v/>
      </c>
      <c r="Q18" s="18">
        <f>MAX(0, MIN(ROUNDUP(O18*0.2, 0), MAX(0, O18 - P18)))</f>
        <v/>
      </c>
      <c r="R18" s="14">
        <f>IF(C18&gt;20, "Hủy slot (Mưa &gt; 20mm)", "Kích hoạt")</f>
        <v/>
      </c>
      <c r="S18" s="18">
        <f>IF(C18&gt;20, 0, Q18)</f>
        <v/>
      </c>
      <c r="T18" s="18">
        <f>IF(C18&gt;20, Q18*0.2*W18, 0)</f>
        <v/>
      </c>
      <c r="U18" s="18">
        <f>MAX(0, J18 - P18 - S18)</f>
        <v/>
      </c>
      <c r="V18" s="18">
        <f>P18 + S18 + U18</f>
        <v/>
      </c>
      <c r="W18" s="18">
        <f>IF(OR(B18&gt;=34, F18=1), 11700000, 9000000)</f>
        <v/>
      </c>
      <c r="X18" s="17" t="n">
        <v>0.02</v>
      </c>
      <c r="Y18" s="18">
        <f>AVERAGE(J15:J17)</f>
        <v/>
      </c>
      <c r="Z18" s="18">
        <f>ABS(J18 - Y18)</f>
        <v/>
      </c>
      <c r="AA18" s="18">
        <f>IF(Y18="", 0, IF(Y18&gt;J18, (Y18-J18)*2700000, 0))</f>
        <v/>
      </c>
      <c r="AB18" s="18">
        <f>IF(Y18="", 0, IF(J18&gt;Y18, (J18-Y18)*6000000, 0))</f>
        <v/>
      </c>
      <c r="AC18" s="18">
        <f>AA18 + AB18</f>
        <v/>
      </c>
      <c r="AD18" s="18">
        <f>ABS(V18 - J18)</f>
        <v/>
      </c>
      <c r="AE18" s="18">
        <f>IF(V18&gt;J18, (V18-J18)*2700000, 0)</f>
        <v/>
      </c>
      <c r="AF18" s="18">
        <f>IF(J18&gt;V18, (J18-V18)*6000000, 0)</f>
        <v/>
      </c>
      <c r="AG18" s="18">
        <f>AE18 + AF18 + T18</f>
        <v/>
      </c>
    </row>
    <row r="19">
      <c r="A19" s="14" t="inlineStr">
        <is>
          <t>Ngày 17 (17/05)</t>
        </is>
      </c>
      <c r="B19" s="15" t="n">
        <v>29.6</v>
      </c>
      <c r="C19" s="15" t="n">
        <v>12.6</v>
      </c>
      <c r="D19" s="16" t="n">
        <v>0.269</v>
      </c>
      <c r="E19" s="17" t="n">
        <v>122.2</v>
      </c>
      <c r="F19" s="18" t="n">
        <v>0</v>
      </c>
      <c r="G19" s="19" t="n">
        <v>114.2</v>
      </c>
      <c r="H19" s="19">
        <f>G19*IF(F19=1, 0.85, 0.8)</f>
        <v/>
      </c>
      <c r="I19" s="14" t="inlineStr">
        <is>
          <t>2-4</t>
        </is>
      </c>
      <c r="J19" s="18">
        <f>INT(H19/(18*0.96))</f>
        <v/>
      </c>
      <c r="K19" s="19">
        <f>MAX(15, ROUND(TREND(G$3:G$94, E$3:E$94, E19), 1))</f>
        <v/>
      </c>
      <c r="L19" s="19">
        <f>MAX(15, ROUND(TREND(G$3:G$94, B$3:E$94, B19:E19), 1))</f>
        <v/>
      </c>
      <c r="M19" s="19">
        <f>MAX(15, ROUND(TREND(G$3:G$94, B$3:F$94, B19:F19), 1))</f>
        <v/>
      </c>
      <c r="N19" s="19">
        <f>M19*IF(F19=1, 0.85, 0.8)</f>
        <v/>
      </c>
      <c r="O19" s="18">
        <f>MAX(0, INT(N19/(18*0.96)))</f>
        <v/>
      </c>
      <c r="P19" s="18">
        <f>MAX(0, ROUND(O19*70%, 0))</f>
        <v/>
      </c>
      <c r="Q19" s="18">
        <f>MAX(0, MIN(ROUNDUP(O19*0.2, 0), MAX(0, O19 - P19)))</f>
        <v/>
      </c>
      <c r="R19" s="14">
        <f>IF(C19&gt;20, "Hủy slot (Mưa &gt; 20mm)", "Kích hoạt")</f>
        <v/>
      </c>
      <c r="S19" s="18">
        <f>IF(C19&gt;20, 0, Q19)</f>
        <v/>
      </c>
      <c r="T19" s="18">
        <f>IF(C19&gt;20, Q19*0.2*W19, 0)</f>
        <v/>
      </c>
      <c r="U19" s="18">
        <f>MAX(0, J19 - P19 - S19)</f>
        <v/>
      </c>
      <c r="V19" s="18">
        <f>P19 + S19 + U19</f>
        <v/>
      </c>
      <c r="W19" s="18">
        <f>IF(OR(B19&gt;=34, F19=1), 11700000, 9000000)</f>
        <v/>
      </c>
      <c r="X19" s="17" t="n">
        <v>0.02</v>
      </c>
      <c r="Y19" s="18">
        <f>AVERAGE(J16:J18)</f>
        <v/>
      </c>
      <c r="Z19" s="18">
        <f>ABS(J19 - Y19)</f>
        <v/>
      </c>
      <c r="AA19" s="18">
        <f>IF(Y19="", 0, IF(Y19&gt;J19, (Y19-J19)*2700000, 0))</f>
        <v/>
      </c>
      <c r="AB19" s="18">
        <f>IF(Y19="", 0, IF(J19&gt;Y19, (J19-Y19)*6000000, 0))</f>
        <v/>
      </c>
      <c r="AC19" s="18">
        <f>AA19 + AB19</f>
        <v/>
      </c>
      <c r="AD19" s="18">
        <f>ABS(V19 - J19)</f>
        <v/>
      </c>
      <c r="AE19" s="18">
        <f>IF(V19&gt;J19, (V19-J19)*2700000, 0)</f>
        <v/>
      </c>
      <c r="AF19" s="18">
        <f>IF(J19&gt;V19, (J19-V19)*6000000, 0)</f>
        <v/>
      </c>
      <c r="AG19" s="18">
        <f>AE19 + AF19 + T19</f>
        <v/>
      </c>
    </row>
    <row r="20">
      <c r="A20" s="14" t="inlineStr">
        <is>
          <t>Ngày 18 (18/05)</t>
        </is>
      </c>
      <c r="B20" s="15" t="n">
        <v>30.8</v>
      </c>
      <c r="C20" s="15" t="n">
        <v>17</v>
      </c>
      <c r="D20" s="16" t="n">
        <v>0.275</v>
      </c>
      <c r="E20" s="17" t="n">
        <v>142.5</v>
      </c>
      <c r="F20" s="18" t="n">
        <v>0</v>
      </c>
      <c r="G20" s="19" t="n">
        <v>131.6</v>
      </c>
      <c r="H20" s="19">
        <f>G20*IF(F20=1, 0.85, 0.8)</f>
        <v/>
      </c>
      <c r="I20" s="14" t="inlineStr">
        <is>
          <t>2-4</t>
        </is>
      </c>
      <c r="J20" s="18">
        <f>INT(H20/(18*0.96))</f>
        <v/>
      </c>
      <c r="K20" s="19">
        <f>MAX(15, ROUND(TREND(G$3:G$94, E$3:E$94, E20), 1))</f>
        <v/>
      </c>
      <c r="L20" s="19">
        <f>MAX(15, ROUND(TREND(G$3:G$94, B$3:E$94, B20:E20), 1))</f>
        <v/>
      </c>
      <c r="M20" s="19">
        <f>MAX(15, ROUND(TREND(G$3:G$94, B$3:F$94, B20:F20), 1))</f>
        <v/>
      </c>
      <c r="N20" s="19">
        <f>M20*IF(F20=1, 0.85, 0.8)</f>
        <v/>
      </c>
      <c r="O20" s="18">
        <f>MAX(0, INT(N20/(18*0.96)))</f>
        <v/>
      </c>
      <c r="P20" s="18">
        <f>MAX(0, ROUND(O20*70%, 0))</f>
        <v/>
      </c>
      <c r="Q20" s="18">
        <f>MAX(0, MIN(ROUNDUP(O20*0.2, 0), MAX(0, O20 - P20)))</f>
        <v/>
      </c>
      <c r="R20" s="14">
        <f>IF(C20&gt;20, "Hủy slot (Mưa &gt; 20mm)", "Kích hoạt")</f>
        <v/>
      </c>
      <c r="S20" s="18">
        <f>IF(C20&gt;20, 0, Q20)</f>
        <v/>
      </c>
      <c r="T20" s="18">
        <f>IF(C20&gt;20, Q20*0.2*W20, 0)</f>
        <v/>
      </c>
      <c r="U20" s="18">
        <f>MAX(0, J20 - P20 - S20)</f>
        <v/>
      </c>
      <c r="V20" s="18">
        <f>P20 + S20 + U20</f>
        <v/>
      </c>
      <c r="W20" s="18">
        <f>IF(OR(B20&gt;=34, F20=1), 11700000, 9000000)</f>
        <v/>
      </c>
      <c r="X20" s="17" t="n">
        <v>0.02</v>
      </c>
      <c r="Y20" s="18">
        <f>AVERAGE(J17:J19)</f>
        <v/>
      </c>
      <c r="Z20" s="18">
        <f>ABS(J20 - Y20)</f>
        <v/>
      </c>
      <c r="AA20" s="18">
        <f>IF(Y20="", 0, IF(Y20&gt;J20, (Y20-J20)*2700000, 0))</f>
        <v/>
      </c>
      <c r="AB20" s="18">
        <f>IF(Y20="", 0, IF(J20&gt;Y20, (J20-Y20)*6000000, 0))</f>
        <v/>
      </c>
      <c r="AC20" s="18">
        <f>AA20 + AB20</f>
        <v/>
      </c>
      <c r="AD20" s="18">
        <f>ABS(V20 - J20)</f>
        <v/>
      </c>
      <c r="AE20" s="18">
        <f>IF(V20&gt;J20, (V20-J20)*2700000, 0)</f>
        <v/>
      </c>
      <c r="AF20" s="18">
        <f>IF(J20&gt;V20, (J20-V20)*6000000, 0)</f>
        <v/>
      </c>
      <c r="AG20" s="18">
        <f>AE20 + AF20 + T20</f>
        <v/>
      </c>
    </row>
    <row r="21">
      <c r="A21" s="14" t="inlineStr">
        <is>
          <t>Ngày 19 (19/05)</t>
        </is>
      </c>
      <c r="B21" s="15" t="n">
        <v>32.3</v>
      </c>
      <c r="C21" s="15" t="n">
        <v>23.1</v>
      </c>
      <c r="D21" s="16" t="n">
        <v>0.298</v>
      </c>
      <c r="E21" s="17" t="n">
        <v>168.1</v>
      </c>
      <c r="F21" s="18" t="n">
        <v>0</v>
      </c>
      <c r="G21" s="19" t="n">
        <v>107.8</v>
      </c>
      <c r="H21" s="19">
        <f>G21*IF(F21=1, 0.85, 0.8)</f>
        <v/>
      </c>
      <c r="I21" s="14" t="inlineStr">
        <is>
          <t>2-4</t>
        </is>
      </c>
      <c r="J21" s="18">
        <f>INT(H21/(18*0.96))</f>
        <v/>
      </c>
      <c r="K21" s="19">
        <f>MAX(15, ROUND(TREND(G$3:G$94, E$3:E$94, E21), 1))</f>
        <v/>
      </c>
      <c r="L21" s="19">
        <f>MAX(15, ROUND(TREND(G$3:G$94, B$3:E$94, B21:E21), 1))</f>
        <v/>
      </c>
      <c r="M21" s="19">
        <f>MAX(15, ROUND(TREND(G$3:G$94, B$3:F$94, B21:F21), 1))</f>
        <v/>
      </c>
      <c r="N21" s="19">
        <f>M21*IF(F21=1, 0.85, 0.8)</f>
        <v/>
      </c>
      <c r="O21" s="18">
        <f>MAX(0, INT(N21/(18*0.96)))</f>
        <v/>
      </c>
      <c r="P21" s="18">
        <f>MAX(0, ROUND(O21*70%, 0))</f>
        <v/>
      </c>
      <c r="Q21" s="18">
        <f>MAX(0, MIN(ROUNDUP(O21*0.2, 0), MAX(0, O21 - P21)))</f>
        <v/>
      </c>
      <c r="R21" s="14">
        <f>IF(C21&gt;20, "Hủy slot (Mưa &gt; 20mm)", "Kích hoạt")</f>
        <v/>
      </c>
      <c r="S21" s="18">
        <f>IF(C21&gt;20, 0, Q21)</f>
        <v/>
      </c>
      <c r="T21" s="18">
        <f>IF(C21&gt;20, Q21*0.2*W21, 0)</f>
        <v/>
      </c>
      <c r="U21" s="18">
        <f>MAX(0, J21 - P21 - S21)</f>
        <v/>
      </c>
      <c r="V21" s="18">
        <f>P21 + S21 + U21</f>
        <v/>
      </c>
      <c r="W21" s="18">
        <f>IF(OR(B21&gt;=34, F21=1), 11700000, 9000000)</f>
        <v/>
      </c>
      <c r="X21" s="17" t="n">
        <v>0.02</v>
      </c>
      <c r="Y21" s="18">
        <f>AVERAGE(J18:J20)</f>
        <v/>
      </c>
      <c r="Z21" s="18">
        <f>ABS(J21 - Y21)</f>
        <v/>
      </c>
      <c r="AA21" s="18">
        <f>IF(Y21="", 0, IF(Y21&gt;J21, (Y21-J21)*2700000, 0))</f>
        <v/>
      </c>
      <c r="AB21" s="18">
        <f>IF(Y21="", 0, IF(J21&gt;Y21, (J21-Y21)*6000000, 0))</f>
        <v/>
      </c>
      <c r="AC21" s="18">
        <f>AA21 + AB21</f>
        <v/>
      </c>
      <c r="AD21" s="18">
        <f>ABS(V21 - J21)</f>
        <v/>
      </c>
      <c r="AE21" s="18">
        <f>IF(V21&gt;J21, (V21-J21)*2700000, 0)</f>
        <v/>
      </c>
      <c r="AF21" s="18">
        <f>IF(J21&gt;V21, (J21-V21)*6000000, 0)</f>
        <v/>
      </c>
      <c r="AG21" s="18">
        <f>AE21 + AF21 + T21</f>
        <v/>
      </c>
    </row>
    <row r="22">
      <c r="A22" s="14" t="inlineStr">
        <is>
          <t>Ngày 20 (20/05)</t>
        </is>
      </c>
      <c r="B22" s="15" t="n">
        <v>29.8</v>
      </c>
      <c r="C22" s="15" t="n">
        <v>24.5</v>
      </c>
      <c r="D22" s="16" t="n">
        <v>0.3</v>
      </c>
      <c r="E22" s="17" t="n">
        <v>171.9</v>
      </c>
      <c r="F22" s="18" t="n">
        <v>0</v>
      </c>
      <c r="G22" s="19" t="n">
        <v>116.6</v>
      </c>
      <c r="H22" s="19">
        <f>G22*IF(F22=1, 0.85, 0.8)</f>
        <v/>
      </c>
      <c r="I22" s="14" t="inlineStr">
        <is>
          <t>2-4</t>
        </is>
      </c>
      <c r="J22" s="18">
        <f>INT(H22/(18*0.96))</f>
        <v/>
      </c>
      <c r="K22" s="19">
        <f>MAX(15, ROUND(TREND(G$3:G$94, E$3:E$94, E22), 1))</f>
        <v/>
      </c>
      <c r="L22" s="19">
        <f>MAX(15, ROUND(TREND(G$3:G$94, B$3:E$94, B22:E22), 1))</f>
        <v/>
      </c>
      <c r="M22" s="19">
        <f>MAX(15, ROUND(TREND(G$3:G$94, B$3:F$94, B22:F22), 1))</f>
        <v/>
      </c>
      <c r="N22" s="19">
        <f>M22*IF(F22=1, 0.85, 0.8)</f>
        <v/>
      </c>
      <c r="O22" s="18">
        <f>MAX(0, INT(N22/(18*0.96)))</f>
        <v/>
      </c>
      <c r="P22" s="18">
        <f>MAX(0, ROUND(O22*70%, 0))</f>
        <v/>
      </c>
      <c r="Q22" s="18">
        <f>MAX(0, MIN(ROUNDUP(O22*0.2, 0), MAX(0, O22 - P22)))</f>
        <v/>
      </c>
      <c r="R22" s="14">
        <f>IF(C22&gt;20, "Hủy slot (Mưa &gt; 20mm)", "Kích hoạt")</f>
        <v/>
      </c>
      <c r="S22" s="18">
        <f>IF(C22&gt;20, 0, Q22)</f>
        <v/>
      </c>
      <c r="T22" s="18">
        <f>IF(C22&gt;20, Q22*0.2*W22, 0)</f>
        <v/>
      </c>
      <c r="U22" s="18">
        <f>MAX(0, J22 - P22 - S22)</f>
        <v/>
      </c>
      <c r="V22" s="18">
        <f>P22 + S22 + U22</f>
        <v/>
      </c>
      <c r="W22" s="18">
        <f>IF(OR(B22&gt;=34, F22=1), 11700000, 9000000)</f>
        <v/>
      </c>
      <c r="X22" s="17" t="n">
        <v>0.02</v>
      </c>
      <c r="Y22" s="18">
        <f>AVERAGE(J19:J21)</f>
        <v/>
      </c>
      <c r="Z22" s="18">
        <f>ABS(J22 - Y22)</f>
        <v/>
      </c>
      <c r="AA22" s="18">
        <f>IF(Y22="", 0, IF(Y22&gt;J22, (Y22-J22)*2700000, 0))</f>
        <v/>
      </c>
      <c r="AB22" s="18">
        <f>IF(Y22="", 0, IF(J22&gt;Y22, (J22-Y22)*6000000, 0))</f>
        <v/>
      </c>
      <c r="AC22" s="18">
        <f>AA22 + AB22</f>
        <v/>
      </c>
      <c r="AD22" s="18">
        <f>ABS(V22 - J22)</f>
        <v/>
      </c>
      <c r="AE22" s="18">
        <f>IF(V22&gt;J22, (V22-J22)*2700000, 0)</f>
        <v/>
      </c>
      <c r="AF22" s="18">
        <f>IF(J22&gt;V22, (J22-V22)*6000000, 0)</f>
        <v/>
      </c>
      <c r="AG22" s="18">
        <f>AE22 + AF22 + T22</f>
        <v/>
      </c>
    </row>
    <row r="23">
      <c r="A23" s="14" t="inlineStr">
        <is>
          <t>Ngày 21 (21/05)</t>
        </is>
      </c>
      <c r="B23" s="15" t="n">
        <v>30.9</v>
      </c>
      <c r="C23" s="15" t="n">
        <v>46.8</v>
      </c>
      <c r="D23" s="16" t="n">
        <v>0.311</v>
      </c>
      <c r="E23" s="17" t="n">
        <v>206.6</v>
      </c>
      <c r="F23" s="18" t="n">
        <v>1</v>
      </c>
      <c r="G23" s="19" t="n">
        <v>136.6</v>
      </c>
      <c r="H23" s="19">
        <f>G23*IF(F23=1, 0.85, 0.8)</f>
        <v/>
      </c>
      <c r="I23" s="14" t="inlineStr">
        <is>
          <t>2-4</t>
        </is>
      </c>
      <c r="J23" s="18">
        <f>INT(H23/(18*0.96))</f>
        <v/>
      </c>
      <c r="K23" s="19">
        <f>MAX(15, ROUND(TREND(G$3:G$94, E$3:E$94, E23), 1))</f>
        <v/>
      </c>
      <c r="L23" s="19">
        <f>MAX(15, ROUND(TREND(G$3:G$94, B$3:E$94, B23:E23), 1))</f>
        <v/>
      </c>
      <c r="M23" s="19">
        <f>MAX(15, ROUND(TREND(G$3:G$94, B$3:F$94, B23:F23), 1))</f>
        <v/>
      </c>
      <c r="N23" s="19">
        <f>M23*IF(F23=1, 0.85, 0.8)</f>
        <v/>
      </c>
      <c r="O23" s="18">
        <f>MAX(0, INT(N23/(18*0.96)))</f>
        <v/>
      </c>
      <c r="P23" s="18">
        <f>MAX(0, ROUND(O23*70%, 0))</f>
        <v/>
      </c>
      <c r="Q23" s="18">
        <f>MAX(0, MIN(ROUNDUP(O23*0.2, 0), MAX(0, O23 - P23)))</f>
        <v/>
      </c>
      <c r="R23" s="14">
        <f>IF(C23&gt;20, "Hủy slot (Mưa &gt; 20mm)", "Kích hoạt")</f>
        <v/>
      </c>
      <c r="S23" s="18">
        <f>IF(C23&gt;20, 0, Q23)</f>
        <v/>
      </c>
      <c r="T23" s="18">
        <f>IF(C23&gt;20, Q23*0.2*W23, 0)</f>
        <v/>
      </c>
      <c r="U23" s="18">
        <f>MAX(0, J23 - P23 - S23)</f>
        <v/>
      </c>
      <c r="V23" s="18">
        <f>P23 + S23 + U23</f>
        <v/>
      </c>
      <c r="W23" s="18">
        <f>IF(OR(B23&gt;=34, F23=1), 11700000, 9000000)</f>
        <v/>
      </c>
      <c r="X23" s="17" t="n">
        <v>0.02</v>
      </c>
      <c r="Y23" s="18">
        <f>AVERAGE(J20:J22)</f>
        <v/>
      </c>
      <c r="Z23" s="18">
        <f>ABS(J23 - Y23)</f>
        <v/>
      </c>
      <c r="AA23" s="18">
        <f>IF(Y23="", 0, IF(Y23&gt;J23, (Y23-J23)*2700000, 0))</f>
        <v/>
      </c>
      <c r="AB23" s="18">
        <f>IF(Y23="", 0, IF(J23&gt;Y23, (J23-Y23)*6000000, 0))</f>
        <v/>
      </c>
      <c r="AC23" s="18">
        <f>AA23 + AB23</f>
        <v/>
      </c>
      <c r="AD23" s="18">
        <f>ABS(V23 - J23)</f>
        <v/>
      </c>
      <c r="AE23" s="18">
        <f>IF(V23&gt;J23, (V23-J23)*2700000, 0)</f>
        <v/>
      </c>
      <c r="AF23" s="18">
        <f>IF(J23&gt;V23, (J23-V23)*6000000, 0)</f>
        <v/>
      </c>
      <c r="AG23" s="18">
        <f>AE23 + AF23 + T23</f>
        <v/>
      </c>
    </row>
    <row r="24">
      <c r="A24" s="14" t="inlineStr">
        <is>
          <t>Ngày 22 (22/05)</t>
        </is>
      </c>
      <c r="B24" s="15" t="n">
        <v>32</v>
      </c>
      <c r="C24" s="15" t="n">
        <v>3.8</v>
      </c>
      <c r="D24" s="16" t="n">
        <v>0.318</v>
      </c>
      <c r="E24" s="17" t="n">
        <v>226.7</v>
      </c>
      <c r="F24" s="18" t="n">
        <v>1</v>
      </c>
      <c r="G24" s="19" t="n">
        <v>252.1</v>
      </c>
      <c r="H24" s="19">
        <f>G24*IF(F24=1, 0.85, 0.8)</f>
        <v/>
      </c>
      <c r="I24" s="14" t="inlineStr">
        <is>
          <t>2-4</t>
        </is>
      </c>
      <c r="J24" s="18">
        <f>INT(H24/(18*0.96))</f>
        <v/>
      </c>
      <c r="K24" s="19">
        <f>MAX(15, ROUND(TREND(G$3:G$94, E$3:E$94, E24), 1))</f>
        <v/>
      </c>
      <c r="L24" s="19">
        <f>MAX(15, ROUND(TREND(G$3:G$94, B$3:E$94, B24:E24), 1))</f>
        <v/>
      </c>
      <c r="M24" s="19">
        <f>MAX(15, ROUND(TREND(G$3:G$94, B$3:F$94, B24:F24), 1))</f>
        <v/>
      </c>
      <c r="N24" s="19">
        <f>M24*IF(F24=1, 0.85, 0.8)</f>
        <v/>
      </c>
      <c r="O24" s="18">
        <f>MAX(0, INT(N24/(18*0.96)))</f>
        <v/>
      </c>
      <c r="P24" s="18">
        <f>MAX(0, ROUND(O24*70%, 0))</f>
        <v/>
      </c>
      <c r="Q24" s="18">
        <f>MAX(0, MIN(ROUNDUP(O24*0.2, 0), MAX(0, O24 - P24)))</f>
        <v/>
      </c>
      <c r="R24" s="14">
        <f>IF(C24&gt;20, "Hủy slot (Mưa &gt; 20mm)", "Kích hoạt")</f>
        <v/>
      </c>
      <c r="S24" s="18">
        <f>IF(C24&gt;20, 0, Q24)</f>
        <v/>
      </c>
      <c r="T24" s="18">
        <f>IF(C24&gt;20, Q24*0.2*W24, 0)</f>
        <v/>
      </c>
      <c r="U24" s="18">
        <f>MAX(0, J24 - P24 - S24)</f>
        <v/>
      </c>
      <c r="V24" s="18">
        <f>P24 + S24 + U24</f>
        <v/>
      </c>
      <c r="W24" s="18">
        <f>IF(OR(B24&gt;=34, F24=1), 11700000, 9000000)</f>
        <v/>
      </c>
      <c r="X24" s="17" t="n">
        <v>0.02</v>
      </c>
      <c r="Y24" s="18">
        <f>AVERAGE(J21:J23)</f>
        <v/>
      </c>
      <c r="Z24" s="18">
        <f>ABS(J24 - Y24)</f>
        <v/>
      </c>
      <c r="AA24" s="18">
        <f>IF(Y24="", 0, IF(Y24&gt;J24, (Y24-J24)*2700000, 0))</f>
        <v/>
      </c>
      <c r="AB24" s="18">
        <f>IF(Y24="", 0, IF(J24&gt;Y24, (J24-Y24)*6000000, 0))</f>
        <v/>
      </c>
      <c r="AC24" s="18">
        <f>AA24 + AB24</f>
        <v/>
      </c>
      <c r="AD24" s="18">
        <f>ABS(V24 - J24)</f>
        <v/>
      </c>
      <c r="AE24" s="18">
        <f>IF(V24&gt;J24, (V24-J24)*2700000, 0)</f>
        <v/>
      </c>
      <c r="AF24" s="18">
        <f>IF(J24&gt;V24, (J24-V24)*6000000, 0)</f>
        <v/>
      </c>
      <c r="AG24" s="18">
        <f>AE24 + AF24 + T24</f>
        <v/>
      </c>
    </row>
    <row r="25">
      <c r="A25" s="14" t="inlineStr">
        <is>
          <t>Ngày 23 (23/05)</t>
        </is>
      </c>
      <c r="B25" s="15" t="n">
        <v>35.1</v>
      </c>
      <c r="C25" s="15" t="n">
        <v>0</v>
      </c>
      <c r="D25" s="16" t="n">
        <v>0.34</v>
      </c>
      <c r="E25" s="17" t="n">
        <v>208.8</v>
      </c>
      <c r="F25" s="18" t="n">
        <v>0</v>
      </c>
      <c r="G25" s="19" t="n">
        <v>225.4</v>
      </c>
      <c r="H25" s="19">
        <f>G25*IF(F25=1, 0.85, 0.8)</f>
        <v/>
      </c>
      <c r="I25" s="14" t="inlineStr">
        <is>
          <t>2-4</t>
        </is>
      </c>
      <c r="J25" s="18">
        <f>INT(H25/(18*0.96))</f>
        <v/>
      </c>
      <c r="K25" s="19">
        <f>MAX(15, ROUND(TREND(G$3:G$94, E$3:E$94, E25), 1))</f>
        <v/>
      </c>
      <c r="L25" s="19">
        <f>MAX(15, ROUND(TREND(G$3:G$94, B$3:E$94, B25:E25), 1))</f>
        <v/>
      </c>
      <c r="M25" s="19">
        <f>MAX(15, ROUND(TREND(G$3:G$94, B$3:F$94, B25:F25), 1))</f>
        <v/>
      </c>
      <c r="N25" s="19">
        <f>M25*IF(F25=1, 0.85, 0.8)</f>
        <v/>
      </c>
      <c r="O25" s="18">
        <f>MAX(0, INT(N25/(18*0.96)))</f>
        <v/>
      </c>
      <c r="P25" s="18">
        <f>MAX(0, ROUND(O25*70%, 0))</f>
        <v/>
      </c>
      <c r="Q25" s="18">
        <f>MAX(0, MIN(ROUNDUP(O25*0.2, 0), MAX(0, O25 - P25)))</f>
        <v/>
      </c>
      <c r="R25" s="14">
        <f>IF(C25&gt;20, "Hủy slot (Mưa &gt; 20mm)", "Kích hoạt")</f>
        <v/>
      </c>
      <c r="S25" s="18">
        <f>IF(C25&gt;20, 0, Q25)</f>
        <v/>
      </c>
      <c r="T25" s="18">
        <f>IF(C25&gt;20, Q25*0.2*W25, 0)</f>
        <v/>
      </c>
      <c r="U25" s="18">
        <f>MAX(0, J25 - P25 - S25)</f>
        <v/>
      </c>
      <c r="V25" s="18">
        <f>P25 + S25 + U25</f>
        <v/>
      </c>
      <c r="W25" s="18">
        <f>IF(OR(B25&gt;=34, F25=1), 11700000, 9000000)</f>
        <v/>
      </c>
      <c r="X25" s="17" t="n">
        <v>0.02</v>
      </c>
      <c r="Y25" s="18">
        <f>AVERAGE(J22:J24)</f>
        <v/>
      </c>
      <c r="Z25" s="18">
        <f>ABS(J25 - Y25)</f>
        <v/>
      </c>
      <c r="AA25" s="18">
        <f>IF(Y25="", 0, IF(Y25&gt;J25, (Y25-J25)*2700000, 0))</f>
        <v/>
      </c>
      <c r="AB25" s="18">
        <f>IF(Y25="", 0, IF(J25&gt;Y25, (J25-Y25)*6000000, 0))</f>
        <v/>
      </c>
      <c r="AC25" s="18">
        <f>AA25 + AB25</f>
        <v/>
      </c>
      <c r="AD25" s="18">
        <f>ABS(V25 - J25)</f>
        <v/>
      </c>
      <c r="AE25" s="18">
        <f>IF(V25&gt;J25, (V25-J25)*2700000, 0)</f>
        <v/>
      </c>
      <c r="AF25" s="18">
        <f>IF(J25&gt;V25, (J25-V25)*6000000, 0)</f>
        <v/>
      </c>
      <c r="AG25" s="18">
        <f>AE25 + AF25 + T25</f>
        <v/>
      </c>
    </row>
    <row r="26">
      <c r="A26" s="14" t="inlineStr">
        <is>
          <t>Ngày 24 (24/05)</t>
        </is>
      </c>
      <c r="B26" s="15" t="n">
        <v>35.5</v>
      </c>
      <c r="C26" s="15" t="n">
        <v>0</v>
      </c>
      <c r="D26" s="16" t="n">
        <v>0.348</v>
      </c>
      <c r="E26" s="17" t="n">
        <v>212.7</v>
      </c>
      <c r="F26" s="18" t="n">
        <v>0</v>
      </c>
      <c r="G26" s="19" t="n">
        <v>241.2</v>
      </c>
      <c r="H26" s="19">
        <f>G26*IF(F26=1, 0.85, 0.8)</f>
        <v/>
      </c>
      <c r="I26" s="14" t="inlineStr">
        <is>
          <t>2-4</t>
        </is>
      </c>
      <c r="J26" s="18">
        <f>INT(H26/(18*0.96))</f>
        <v/>
      </c>
      <c r="K26" s="19">
        <f>MAX(15, ROUND(TREND(G$3:G$94, E$3:E$94, E26), 1))</f>
        <v/>
      </c>
      <c r="L26" s="19">
        <f>MAX(15, ROUND(TREND(G$3:G$94, B$3:E$94, B26:E26), 1))</f>
        <v/>
      </c>
      <c r="M26" s="19">
        <f>MAX(15, ROUND(TREND(G$3:G$94, B$3:F$94, B26:F26), 1))</f>
        <v/>
      </c>
      <c r="N26" s="19">
        <f>M26*IF(F26=1, 0.85, 0.8)</f>
        <v/>
      </c>
      <c r="O26" s="18">
        <f>MAX(0, INT(N26/(18*0.96)))</f>
        <v/>
      </c>
      <c r="P26" s="18">
        <f>MAX(0, ROUND(O26*70%, 0))</f>
        <v/>
      </c>
      <c r="Q26" s="18">
        <f>MAX(0, MIN(ROUNDUP(O26*0.2, 0), MAX(0, O26 - P26)))</f>
        <v/>
      </c>
      <c r="R26" s="14">
        <f>IF(C26&gt;20, "Hủy slot (Mưa &gt; 20mm)", "Kích hoạt")</f>
        <v/>
      </c>
      <c r="S26" s="18">
        <f>IF(C26&gt;20, 0, Q26)</f>
        <v/>
      </c>
      <c r="T26" s="18">
        <f>IF(C26&gt;20, Q26*0.2*W26, 0)</f>
        <v/>
      </c>
      <c r="U26" s="18">
        <f>MAX(0, J26 - P26 - S26)</f>
        <v/>
      </c>
      <c r="V26" s="18">
        <f>P26 + S26 + U26</f>
        <v/>
      </c>
      <c r="W26" s="18">
        <f>IF(OR(B26&gt;=34, F26=1), 11700000, 9000000)</f>
        <v/>
      </c>
      <c r="X26" s="17" t="n">
        <v>0.02</v>
      </c>
      <c r="Y26" s="18">
        <f>AVERAGE(J23:J25)</f>
        <v/>
      </c>
      <c r="Z26" s="18">
        <f>ABS(J26 - Y26)</f>
        <v/>
      </c>
      <c r="AA26" s="18">
        <f>IF(Y26="", 0, IF(Y26&gt;J26, (Y26-J26)*2700000, 0))</f>
        <v/>
      </c>
      <c r="AB26" s="18">
        <f>IF(Y26="", 0, IF(J26&gt;Y26, (J26-Y26)*6000000, 0))</f>
        <v/>
      </c>
      <c r="AC26" s="18">
        <f>AA26 + AB26</f>
        <v/>
      </c>
      <c r="AD26" s="18">
        <f>ABS(V26 - J26)</f>
        <v/>
      </c>
      <c r="AE26" s="18">
        <f>IF(V26&gt;J26, (V26-J26)*2700000, 0)</f>
        <v/>
      </c>
      <c r="AF26" s="18">
        <f>IF(J26&gt;V26, (J26-V26)*6000000, 0)</f>
        <v/>
      </c>
      <c r="AG26" s="18">
        <f>AE26 + AF26 + T26</f>
        <v/>
      </c>
    </row>
    <row r="27">
      <c r="A27" s="14" t="inlineStr">
        <is>
          <t>Ngày 25 (25/05)</t>
        </is>
      </c>
      <c r="B27" s="15" t="n">
        <v>36.1</v>
      </c>
      <c r="C27" s="15" t="n">
        <v>0</v>
      </c>
      <c r="D27" s="16" t="n">
        <v>0.367</v>
      </c>
      <c r="E27" s="17" t="n">
        <v>235.2</v>
      </c>
      <c r="F27" s="18" t="n">
        <v>0</v>
      </c>
      <c r="G27" s="19" t="n">
        <v>227.8</v>
      </c>
      <c r="H27" s="19">
        <f>G27*IF(F27=1, 0.85, 0.8)</f>
        <v/>
      </c>
      <c r="I27" s="14" t="inlineStr">
        <is>
          <t>2-4</t>
        </is>
      </c>
      <c r="J27" s="18">
        <f>INT(H27/(18*0.96))</f>
        <v/>
      </c>
      <c r="K27" s="19">
        <f>MAX(15, ROUND(TREND(G$3:G$94, E$3:E$94, E27), 1))</f>
        <v/>
      </c>
      <c r="L27" s="19">
        <f>MAX(15, ROUND(TREND(G$3:G$94, B$3:E$94, B27:E27), 1))</f>
        <v/>
      </c>
      <c r="M27" s="19">
        <f>MAX(15, ROUND(TREND(G$3:G$94, B$3:F$94, B27:F27), 1))</f>
        <v/>
      </c>
      <c r="N27" s="19">
        <f>M27*IF(F27=1, 0.85, 0.8)</f>
        <v/>
      </c>
      <c r="O27" s="18">
        <f>MAX(0, INT(N27/(18*0.96)))</f>
        <v/>
      </c>
      <c r="P27" s="18">
        <f>MAX(0, ROUND(O27*70%, 0))</f>
        <v/>
      </c>
      <c r="Q27" s="18">
        <f>MAX(0, MIN(ROUNDUP(O27*0.2, 0), MAX(0, O27 - P27)))</f>
        <v/>
      </c>
      <c r="R27" s="14">
        <f>IF(C27&gt;20, "Hủy slot (Mưa &gt; 20mm)", "Kích hoạt")</f>
        <v/>
      </c>
      <c r="S27" s="18">
        <f>IF(C27&gt;20, 0, Q27)</f>
        <v/>
      </c>
      <c r="T27" s="18">
        <f>IF(C27&gt;20, Q27*0.2*W27, 0)</f>
        <v/>
      </c>
      <c r="U27" s="18">
        <f>MAX(0, J27 - P27 - S27)</f>
        <v/>
      </c>
      <c r="V27" s="18">
        <f>P27 + S27 + U27</f>
        <v/>
      </c>
      <c r="W27" s="18">
        <f>IF(OR(B27&gt;=34, F27=1), 11700000, 9000000)</f>
        <v/>
      </c>
      <c r="X27" s="17" t="n">
        <v>0.02</v>
      </c>
      <c r="Y27" s="18">
        <f>AVERAGE(J24:J26)</f>
        <v/>
      </c>
      <c r="Z27" s="18">
        <f>ABS(J27 - Y27)</f>
        <v/>
      </c>
      <c r="AA27" s="18">
        <f>IF(Y27="", 0, IF(Y27&gt;J27, (Y27-J27)*2700000, 0))</f>
        <v/>
      </c>
      <c r="AB27" s="18">
        <f>IF(Y27="", 0, IF(J27&gt;Y27, (J27-Y27)*6000000, 0))</f>
        <v/>
      </c>
      <c r="AC27" s="18">
        <f>AA27 + AB27</f>
        <v/>
      </c>
      <c r="AD27" s="18">
        <f>ABS(V27 - J27)</f>
        <v/>
      </c>
      <c r="AE27" s="18">
        <f>IF(V27&gt;J27, (V27-J27)*2700000, 0)</f>
        <v/>
      </c>
      <c r="AF27" s="18">
        <f>IF(J27&gt;V27, (J27-V27)*6000000, 0)</f>
        <v/>
      </c>
      <c r="AG27" s="18">
        <f>AE27 + AF27 + T27</f>
        <v/>
      </c>
    </row>
    <row r="28">
      <c r="A28" s="14" t="inlineStr">
        <is>
          <t>Ngày 26 (26/05)</t>
        </is>
      </c>
      <c r="B28" s="15" t="n">
        <v>36.2</v>
      </c>
      <c r="C28" s="15" t="n">
        <v>0</v>
      </c>
      <c r="D28" s="16" t="n">
        <v>0.387</v>
      </c>
      <c r="E28" s="17" t="n">
        <v>231</v>
      </c>
      <c r="F28" s="18" t="n">
        <v>0</v>
      </c>
      <c r="G28" s="19" t="n">
        <v>250.7</v>
      </c>
      <c r="H28" s="19">
        <f>G28*IF(F28=1, 0.85, 0.8)</f>
        <v/>
      </c>
      <c r="I28" s="14" t="inlineStr">
        <is>
          <t>2-4</t>
        </is>
      </c>
      <c r="J28" s="18">
        <f>INT(H28/(18*0.96))</f>
        <v/>
      </c>
      <c r="K28" s="19">
        <f>MAX(15, ROUND(TREND(G$3:G$94, E$3:E$94, E28), 1))</f>
        <v/>
      </c>
      <c r="L28" s="19">
        <f>MAX(15, ROUND(TREND(G$3:G$94, B$3:E$94, B28:E28), 1))</f>
        <v/>
      </c>
      <c r="M28" s="19">
        <f>MAX(15, ROUND(TREND(G$3:G$94, B$3:F$94, B28:F28), 1))</f>
        <v/>
      </c>
      <c r="N28" s="19">
        <f>M28*IF(F28=1, 0.85, 0.8)</f>
        <v/>
      </c>
      <c r="O28" s="18">
        <f>MAX(0, INT(N28/(18*0.96)))</f>
        <v/>
      </c>
      <c r="P28" s="18">
        <f>MAX(0, ROUND(O28*70%, 0))</f>
        <v/>
      </c>
      <c r="Q28" s="18">
        <f>MAX(0, MIN(ROUNDUP(O28*0.2, 0), MAX(0, O28 - P28)))</f>
        <v/>
      </c>
      <c r="R28" s="14">
        <f>IF(C28&gt;20, "Hủy slot (Mưa &gt; 20mm)", "Kích hoạt")</f>
        <v/>
      </c>
      <c r="S28" s="18">
        <f>IF(C28&gt;20, 0, Q28)</f>
        <v/>
      </c>
      <c r="T28" s="18">
        <f>IF(C28&gt;20, Q28*0.2*W28, 0)</f>
        <v/>
      </c>
      <c r="U28" s="18">
        <f>MAX(0, J28 - P28 - S28)</f>
        <v/>
      </c>
      <c r="V28" s="18">
        <f>P28 + S28 + U28</f>
        <v/>
      </c>
      <c r="W28" s="18">
        <f>IF(OR(B28&gt;=34, F28=1), 11700000, 9000000)</f>
        <v/>
      </c>
      <c r="X28" s="17" t="n">
        <v>0.02</v>
      </c>
      <c r="Y28" s="18">
        <f>AVERAGE(J25:J27)</f>
        <v/>
      </c>
      <c r="Z28" s="18">
        <f>ABS(J28 - Y28)</f>
        <v/>
      </c>
      <c r="AA28" s="18">
        <f>IF(Y28="", 0, IF(Y28&gt;J28, (Y28-J28)*2700000, 0))</f>
        <v/>
      </c>
      <c r="AB28" s="18">
        <f>IF(Y28="", 0, IF(J28&gt;Y28, (J28-Y28)*6000000, 0))</f>
        <v/>
      </c>
      <c r="AC28" s="18">
        <f>AA28 + AB28</f>
        <v/>
      </c>
      <c r="AD28" s="18">
        <f>ABS(V28 - J28)</f>
        <v/>
      </c>
      <c r="AE28" s="18">
        <f>IF(V28&gt;J28, (V28-J28)*2700000, 0)</f>
        <v/>
      </c>
      <c r="AF28" s="18">
        <f>IF(J28&gt;V28, (J28-V28)*6000000, 0)</f>
        <v/>
      </c>
      <c r="AG28" s="18">
        <f>AE28 + AF28 + T28</f>
        <v/>
      </c>
    </row>
    <row r="29">
      <c r="A29" s="14" t="inlineStr">
        <is>
          <t>Ngày 27 (27/05)</t>
        </is>
      </c>
      <c r="B29" s="15" t="n">
        <v>37</v>
      </c>
      <c r="C29" s="15" t="n">
        <v>0</v>
      </c>
      <c r="D29" s="16" t="n">
        <v>0.395</v>
      </c>
      <c r="E29" s="17" t="n">
        <v>221</v>
      </c>
      <c r="F29" s="18" t="n">
        <v>0</v>
      </c>
      <c r="G29" s="19" t="n">
        <v>252.1</v>
      </c>
      <c r="H29" s="19">
        <f>G29*IF(F29=1, 0.85, 0.8)</f>
        <v/>
      </c>
      <c r="I29" s="14" t="inlineStr">
        <is>
          <t>2-4</t>
        </is>
      </c>
      <c r="J29" s="18">
        <f>INT(H29/(18*0.96))</f>
        <v/>
      </c>
      <c r="K29" s="19">
        <f>MAX(15, ROUND(TREND(G$3:G$94, E$3:E$94, E29), 1))</f>
        <v/>
      </c>
      <c r="L29" s="19">
        <f>MAX(15, ROUND(TREND(G$3:G$94, B$3:E$94, B29:E29), 1))</f>
        <v/>
      </c>
      <c r="M29" s="19">
        <f>MAX(15, ROUND(TREND(G$3:G$94, B$3:F$94, B29:F29), 1))</f>
        <v/>
      </c>
      <c r="N29" s="19">
        <f>M29*IF(F29=1, 0.85, 0.8)</f>
        <v/>
      </c>
      <c r="O29" s="18">
        <f>MAX(0, INT(N29/(18*0.96)))</f>
        <v/>
      </c>
      <c r="P29" s="18">
        <f>MAX(0, ROUND(O29*70%, 0))</f>
        <v/>
      </c>
      <c r="Q29" s="18">
        <f>MAX(0, MIN(ROUNDUP(O29*0.2, 0), MAX(0, O29 - P29)))</f>
        <v/>
      </c>
      <c r="R29" s="14">
        <f>IF(C29&gt;20, "Hủy slot (Mưa &gt; 20mm)", "Kích hoạt")</f>
        <v/>
      </c>
      <c r="S29" s="18">
        <f>IF(C29&gt;20, 0, Q29)</f>
        <v/>
      </c>
      <c r="T29" s="18">
        <f>IF(C29&gt;20, Q29*0.2*W29, 0)</f>
        <v/>
      </c>
      <c r="U29" s="18">
        <f>MAX(0, J29 - P29 - S29)</f>
        <v/>
      </c>
      <c r="V29" s="18">
        <f>P29 + S29 + U29</f>
        <v/>
      </c>
      <c r="W29" s="18">
        <f>IF(OR(B29&gt;=34, F29=1), 11700000, 9000000)</f>
        <v/>
      </c>
      <c r="X29" s="17" t="n">
        <v>0.02</v>
      </c>
      <c r="Y29" s="18">
        <f>AVERAGE(J26:J28)</f>
        <v/>
      </c>
      <c r="Z29" s="18">
        <f>ABS(J29 - Y29)</f>
        <v/>
      </c>
      <c r="AA29" s="18">
        <f>IF(Y29="", 0, IF(Y29&gt;J29, (Y29-J29)*2700000, 0))</f>
        <v/>
      </c>
      <c r="AB29" s="18">
        <f>IF(Y29="", 0, IF(J29&gt;Y29, (J29-Y29)*6000000, 0))</f>
        <v/>
      </c>
      <c r="AC29" s="18">
        <f>AA29 + AB29</f>
        <v/>
      </c>
      <c r="AD29" s="18">
        <f>ABS(V29 - J29)</f>
        <v/>
      </c>
      <c r="AE29" s="18">
        <f>IF(V29&gt;J29, (V29-J29)*2700000, 0)</f>
        <v/>
      </c>
      <c r="AF29" s="18">
        <f>IF(J29&gt;V29, (J29-V29)*6000000, 0)</f>
        <v/>
      </c>
      <c r="AG29" s="18">
        <f>AE29 + AF29 + T29</f>
        <v/>
      </c>
    </row>
    <row r="30">
      <c r="A30" s="14" t="inlineStr">
        <is>
          <t>Ngày 28 (28/05)</t>
        </is>
      </c>
      <c r="B30" s="15" t="n">
        <v>34</v>
      </c>
      <c r="C30" s="15" t="n">
        <v>1.1</v>
      </c>
      <c r="D30" s="16" t="n">
        <v>0.411</v>
      </c>
      <c r="E30" s="17" t="n">
        <v>296.5</v>
      </c>
      <c r="F30" s="18" t="n">
        <v>1</v>
      </c>
      <c r="G30" s="19" t="n">
        <v>310.2</v>
      </c>
      <c r="H30" s="19">
        <f>G30*IF(F30=1, 0.85, 0.8)</f>
        <v/>
      </c>
      <c r="I30" s="14" t="inlineStr">
        <is>
          <t>2-4</t>
        </is>
      </c>
      <c r="J30" s="18">
        <f>INT(H30/(18*0.96))</f>
        <v/>
      </c>
      <c r="K30" s="19">
        <f>MAX(15, ROUND(TREND(G$3:G$94, E$3:E$94, E30), 1))</f>
        <v/>
      </c>
      <c r="L30" s="19">
        <f>MAX(15, ROUND(TREND(G$3:G$94, B$3:E$94, B30:E30), 1))</f>
        <v/>
      </c>
      <c r="M30" s="19">
        <f>MAX(15, ROUND(TREND(G$3:G$94, B$3:F$94, B30:F30), 1))</f>
        <v/>
      </c>
      <c r="N30" s="19">
        <f>M30*IF(F30=1, 0.85, 0.8)</f>
        <v/>
      </c>
      <c r="O30" s="18">
        <f>MAX(0, INT(N30/(18*0.96)))</f>
        <v/>
      </c>
      <c r="P30" s="18">
        <f>MAX(0, ROUND(O30*70%, 0))</f>
        <v/>
      </c>
      <c r="Q30" s="18">
        <f>MAX(0, MIN(ROUNDUP(O30*0.2, 0), MAX(0, O30 - P30)))</f>
        <v/>
      </c>
      <c r="R30" s="14">
        <f>IF(C30&gt;20, "Hủy slot (Mưa &gt; 20mm)", "Kích hoạt")</f>
        <v/>
      </c>
      <c r="S30" s="18">
        <f>IF(C30&gt;20, 0, Q30)</f>
        <v/>
      </c>
      <c r="T30" s="18">
        <f>IF(C30&gt;20, Q30*0.2*W30, 0)</f>
        <v/>
      </c>
      <c r="U30" s="18">
        <f>MAX(0, J30 - P30 - S30)</f>
        <v/>
      </c>
      <c r="V30" s="18">
        <f>P30 + S30 + U30</f>
        <v/>
      </c>
      <c r="W30" s="18">
        <f>IF(OR(B30&gt;=34, F30=1), 11700000, 9000000)</f>
        <v/>
      </c>
      <c r="X30" s="17" t="n">
        <v>0.02</v>
      </c>
      <c r="Y30" s="18">
        <f>AVERAGE(J27:J29)</f>
        <v/>
      </c>
      <c r="Z30" s="18">
        <f>ABS(J30 - Y30)</f>
        <v/>
      </c>
      <c r="AA30" s="18">
        <f>IF(Y30="", 0, IF(Y30&gt;J30, (Y30-J30)*2700000, 0))</f>
        <v/>
      </c>
      <c r="AB30" s="18">
        <f>IF(Y30="", 0, IF(J30&gt;Y30, (J30-Y30)*6000000, 0))</f>
        <v/>
      </c>
      <c r="AC30" s="18">
        <f>AA30 + AB30</f>
        <v/>
      </c>
      <c r="AD30" s="18">
        <f>ABS(V30 - J30)</f>
        <v/>
      </c>
      <c r="AE30" s="18">
        <f>IF(V30&gt;J30, (V30-J30)*2700000, 0)</f>
        <v/>
      </c>
      <c r="AF30" s="18">
        <f>IF(J30&gt;V30, (J30-V30)*6000000, 0)</f>
        <v/>
      </c>
      <c r="AG30" s="18">
        <f>AE30 + AF30 + T30</f>
        <v/>
      </c>
    </row>
    <row r="31">
      <c r="A31" s="14" t="inlineStr">
        <is>
          <t>Ngày 29 (29/05)</t>
        </is>
      </c>
      <c r="B31" s="15" t="n">
        <v>33.4</v>
      </c>
      <c r="C31" s="15" t="n">
        <v>2.2</v>
      </c>
      <c r="D31" s="16" t="n">
        <v>0.415</v>
      </c>
      <c r="E31" s="17" t="n">
        <v>287.7</v>
      </c>
      <c r="F31" s="18" t="n">
        <v>1</v>
      </c>
      <c r="G31" s="19" t="n">
        <v>315.8</v>
      </c>
      <c r="H31" s="19">
        <f>G31*IF(F31=1, 0.85, 0.8)</f>
        <v/>
      </c>
      <c r="I31" s="14" t="inlineStr">
        <is>
          <t>2-4</t>
        </is>
      </c>
      <c r="J31" s="18">
        <f>INT(H31/(18*0.96))</f>
        <v/>
      </c>
      <c r="K31" s="19">
        <f>MAX(15, ROUND(TREND(G$3:G$94, E$3:E$94, E31), 1))</f>
        <v/>
      </c>
      <c r="L31" s="19">
        <f>MAX(15, ROUND(TREND(G$3:G$94, B$3:E$94, B31:E31), 1))</f>
        <v/>
      </c>
      <c r="M31" s="19">
        <f>MAX(15, ROUND(TREND(G$3:G$94, B$3:F$94, B31:F31), 1))</f>
        <v/>
      </c>
      <c r="N31" s="19">
        <f>M31*IF(F31=1, 0.85, 0.8)</f>
        <v/>
      </c>
      <c r="O31" s="18">
        <f>MAX(0, INT(N31/(18*0.96)))</f>
        <v/>
      </c>
      <c r="P31" s="18">
        <f>MAX(0, ROUND(O31*70%, 0))</f>
        <v/>
      </c>
      <c r="Q31" s="18">
        <f>MAX(0, MIN(ROUNDUP(O31*0.2, 0), MAX(0, O31 - P31)))</f>
        <v/>
      </c>
      <c r="R31" s="14">
        <f>IF(C31&gt;20, "Hủy slot (Mưa &gt; 20mm)", "Kích hoạt")</f>
        <v/>
      </c>
      <c r="S31" s="18">
        <f>IF(C31&gt;20, 0, Q31)</f>
        <v/>
      </c>
      <c r="T31" s="18">
        <f>IF(C31&gt;20, Q31*0.2*W31, 0)</f>
        <v/>
      </c>
      <c r="U31" s="18">
        <f>MAX(0, J31 - P31 - S31)</f>
        <v/>
      </c>
      <c r="V31" s="18">
        <f>P31 + S31 + U31</f>
        <v/>
      </c>
      <c r="W31" s="18">
        <f>IF(OR(B31&gt;=34, F31=1), 11700000, 9000000)</f>
        <v/>
      </c>
      <c r="X31" s="17" t="n">
        <v>0.02</v>
      </c>
      <c r="Y31" s="18">
        <f>AVERAGE(J28:J30)</f>
        <v/>
      </c>
      <c r="Z31" s="18">
        <f>ABS(J31 - Y31)</f>
        <v/>
      </c>
      <c r="AA31" s="18">
        <f>IF(Y31="", 0, IF(Y31&gt;J31, (Y31-J31)*2700000, 0))</f>
        <v/>
      </c>
      <c r="AB31" s="18">
        <f>IF(Y31="", 0, IF(J31&gt;Y31, (J31-Y31)*6000000, 0))</f>
        <v/>
      </c>
      <c r="AC31" s="18">
        <f>AA31 + AB31</f>
        <v/>
      </c>
      <c r="AD31" s="18">
        <f>ABS(V31 - J31)</f>
        <v/>
      </c>
      <c r="AE31" s="18">
        <f>IF(V31&gt;J31, (V31-J31)*2700000, 0)</f>
        <v/>
      </c>
      <c r="AF31" s="18">
        <f>IF(J31&gt;V31, (J31-V31)*6000000, 0)</f>
        <v/>
      </c>
      <c r="AG31" s="18">
        <f>AE31 + AF31 + T31</f>
        <v/>
      </c>
    </row>
    <row r="32">
      <c r="A32" s="14" t="inlineStr">
        <is>
          <t>Ngày 30 (30/05)</t>
        </is>
      </c>
      <c r="B32" s="15" t="n">
        <v>32.9</v>
      </c>
      <c r="C32" s="15" t="n">
        <v>6.3</v>
      </c>
      <c r="D32" s="16" t="n">
        <v>0.438</v>
      </c>
      <c r="E32" s="17" t="n">
        <v>268.5</v>
      </c>
      <c r="F32" s="18" t="n">
        <v>0</v>
      </c>
      <c r="G32" s="19" t="n">
        <v>277.3</v>
      </c>
      <c r="H32" s="19">
        <f>G32*IF(F32=1, 0.85, 0.8)</f>
        <v/>
      </c>
      <c r="I32" s="14" t="inlineStr">
        <is>
          <t>2-4</t>
        </is>
      </c>
      <c r="J32" s="18">
        <f>INT(H32/(18*0.96))</f>
        <v/>
      </c>
      <c r="K32" s="19">
        <f>MAX(15, ROUND(TREND(G$3:G$94, E$3:E$94, E32), 1))</f>
        <v/>
      </c>
      <c r="L32" s="19">
        <f>MAX(15, ROUND(TREND(G$3:G$94, B$3:E$94, B32:E32), 1))</f>
        <v/>
      </c>
      <c r="M32" s="19">
        <f>MAX(15, ROUND(TREND(G$3:G$94, B$3:F$94, B32:F32), 1))</f>
        <v/>
      </c>
      <c r="N32" s="19">
        <f>M32*IF(F32=1, 0.85, 0.8)</f>
        <v/>
      </c>
      <c r="O32" s="18">
        <f>MAX(0, INT(N32/(18*0.96)))</f>
        <v/>
      </c>
      <c r="P32" s="18">
        <f>MAX(0, ROUND(O32*70%, 0))</f>
        <v/>
      </c>
      <c r="Q32" s="18">
        <f>MAX(0, MIN(ROUNDUP(O32*0.2, 0), MAX(0, O32 - P32)))</f>
        <v/>
      </c>
      <c r="R32" s="14">
        <f>IF(C32&gt;20, "Hủy slot (Mưa &gt; 20mm)", "Kích hoạt")</f>
        <v/>
      </c>
      <c r="S32" s="18">
        <f>IF(C32&gt;20, 0, Q32)</f>
        <v/>
      </c>
      <c r="T32" s="18">
        <f>IF(C32&gt;20, Q32*0.2*W32, 0)</f>
        <v/>
      </c>
      <c r="U32" s="18">
        <f>MAX(0, J32 - P32 - S32)</f>
        <v/>
      </c>
      <c r="V32" s="18">
        <f>P32 + S32 + U32</f>
        <v/>
      </c>
      <c r="W32" s="18">
        <f>IF(OR(B32&gt;=34, F32=1), 11700000, 9000000)</f>
        <v/>
      </c>
      <c r="X32" s="17" t="n">
        <v>0.02</v>
      </c>
      <c r="Y32" s="18">
        <f>AVERAGE(J29:J31)</f>
        <v/>
      </c>
      <c r="Z32" s="18">
        <f>ABS(J32 - Y32)</f>
        <v/>
      </c>
      <c r="AA32" s="18">
        <f>IF(Y32="", 0, IF(Y32&gt;J32, (Y32-J32)*2700000, 0))</f>
        <v/>
      </c>
      <c r="AB32" s="18">
        <f>IF(Y32="", 0, IF(J32&gt;Y32, (J32-Y32)*6000000, 0))</f>
        <v/>
      </c>
      <c r="AC32" s="18">
        <f>AA32 + AB32</f>
        <v/>
      </c>
      <c r="AD32" s="18">
        <f>ABS(V32 - J32)</f>
        <v/>
      </c>
      <c r="AE32" s="18">
        <f>IF(V32&gt;J32, (V32-J32)*2700000, 0)</f>
        <v/>
      </c>
      <c r="AF32" s="18">
        <f>IF(J32&gt;V32, (J32-V32)*6000000, 0)</f>
        <v/>
      </c>
      <c r="AG32" s="18">
        <f>AE32 + AF32 + T32</f>
        <v/>
      </c>
    </row>
    <row r="33">
      <c r="A33" s="14" t="inlineStr">
        <is>
          <t>Ngày 31 (31/05)</t>
        </is>
      </c>
      <c r="B33" s="15" t="n">
        <v>33.2</v>
      </c>
      <c r="C33" s="15" t="n">
        <v>0.6</v>
      </c>
      <c r="D33" s="16" t="n">
        <v>0.451</v>
      </c>
      <c r="E33" s="17" t="n">
        <v>294.7</v>
      </c>
      <c r="F33" s="18" t="n">
        <v>0</v>
      </c>
      <c r="G33" s="19" t="n">
        <v>286.3</v>
      </c>
      <c r="H33" s="19">
        <f>G33*IF(F33=1, 0.85, 0.8)</f>
        <v/>
      </c>
      <c r="I33" s="14" t="inlineStr">
        <is>
          <t>2-4</t>
        </is>
      </c>
      <c r="J33" s="18">
        <f>INT(H33/(18*0.96))</f>
        <v/>
      </c>
      <c r="K33" s="19">
        <f>MAX(15, ROUND(TREND(G$3:G$94, E$3:E$94, E33), 1))</f>
        <v/>
      </c>
      <c r="L33" s="19">
        <f>MAX(15, ROUND(TREND(G$3:G$94, B$3:E$94, B33:E33), 1))</f>
        <v/>
      </c>
      <c r="M33" s="19">
        <f>MAX(15, ROUND(TREND(G$3:G$94, B$3:F$94, B33:F33), 1))</f>
        <v/>
      </c>
      <c r="N33" s="19">
        <f>M33*IF(F33=1, 0.85, 0.8)</f>
        <v/>
      </c>
      <c r="O33" s="18">
        <f>MAX(0, INT(N33/(18*0.96)))</f>
        <v/>
      </c>
      <c r="P33" s="18">
        <f>MAX(0, ROUND(O33*70%, 0))</f>
        <v/>
      </c>
      <c r="Q33" s="18">
        <f>MAX(0, MIN(ROUNDUP(O33*0.2, 0), MAX(0, O33 - P33)))</f>
        <v/>
      </c>
      <c r="R33" s="14">
        <f>IF(C33&gt;20, "Hủy slot (Mưa &gt; 20mm)", "Kích hoạt")</f>
        <v/>
      </c>
      <c r="S33" s="18">
        <f>IF(C33&gt;20, 0, Q33)</f>
        <v/>
      </c>
      <c r="T33" s="18">
        <f>IF(C33&gt;20, Q33*0.2*W33, 0)</f>
        <v/>
      </c>
      <c r="U33" s="18">
        <f>MAX(0, J33 - P33 - S33)</f>
        <v/>
      </c>
      <c r="V33" s="18">
        <f>P33 + S33 + U33</f>
        <v/>
      </c>
      <c r="W33" s="18">
        <f>IF(OR(B33&gt;=34, F33=1), 11700000, 9000000)</f>
        <v/>
      </c>
      <c r="X33" s="17" t="n">
        <v>0.02</v>
      </c>
      <c r="Y33" s="18">
        <f>AVERAGE(J30:J32)</f>
        <v/>
      </c>
      <c r="Z33" s="18">
        <f>ABS(J33 - Y33)</f>
        <v/>
      </c>
      <c r="AA33" s="18">
        <f>IF(Y33="", 0, IF(Y33&gt;J33, (Y33-J33)*2700000, 0))</f>
        <v/>
      </c>
      <c r="AB33" s="18">
        <f>IF(Y33="", 0, IF(J33&gt;Y33, (J33-Y33)*6000000, 0))</f>
        <v/>
      </c>
      <c r="AC33" s="18">
        <f>AA33 + AB33</f>
        <v/>
      </c>
      <c r="AD33" s="18">
        <f>ABS(V33 - J33)</f>
        <v/>
      </c>
      <c r="AE33" s="18">
        <f>IF(V33&gt;J33, (V33-J33)*2700000, 0)</f>
        <v/>
      </c>
      <c r="AF33" s="18">
        <f>IF(J33&gt;V33, (J33-V33)*6000000, 0)</f>
        <v/>
      </c>
      <c r="AG33" s="18">
        <f>AE33 + AF33 + T33</f>
        <v/>
      </c>
    </row>
    <row r="34">
      <c r="A34" s="14" t="inlineStr">
        <is>
          <t>Ngày 32 (01/06)</t>
        </is>
      </c>
      <c r="B34" s="15" t="n">
        <v>34.6</v>
      </c>
      <c r="C34" s="15" t="n">
        <v>0</v>
      </c>
      <c r="D34" s="16" t="n">
        <v>0.46</v>
      </c>
      <c r="E34" s="17" t="n">
        <v>412.2</v>
      </c>
      <c r="F34" s="18" t="n">
        <v>0</v>
      </c>
      <c r="G34" s="19" t="n">
        <v>400</v>
      </c>
      <c r="H34" s="19">
        <f>G34*IF(F34=1, 0.85, 0.8)</f>
        <v/>
      </c>
      <c r="I34" s="14" t="inlineStr">
        <is>
          <t>2-4</t>
        </is>
      </c>
      <c r="J34" s="18">
        <f>INT(H34/(18*0.96))</f>
        <v/>
      </c>
      <c r="K34" s="19">
        <f>MAX(15, ROUND(TREND(G$3:G$94, E$3:E$94, E34), 1))</f>
        <v/>
      </c>
      <c r="L34" s="19">
        <f>MAX(15, ROUND(TREND(G$3:G$94, B$3:E$94, B34:E34), 1))</f>
        <v/>
      </c>
      <c r="M34" s="19">
        <f>MAX(15, ROUND(TREND(G$3:G$94, B$3:F$94, B34:F34), 1))</f>
        <v/>
      </c>
      <c r="N34" s="19">
        <f>M34*IF(F34=1, 0.85, 0.8)</f>
        <v/>
      </c>
      <c r="O34" s="18">
        <f>MAX(0, INT(N34/(18*0.96)))</f>
        <v/>
      </c>
      <c r="P34" s="18">
        <f>MAX(0, ROUND(O34*70%, 0))</f>
        <v/>
      </c>
      <c r="Q34" s="18">
        <f>MAX(0, MIN(ROUNDUP(O34*0.2, 0), MAX(0, O34 - P34)))</f>
        <v/>
      </c>
      <c r="R34" s="14">
        <f>IF(C34&gt;20, "Hủy slot (Mưa &gt; 20mm)", "Kích hoạt")</f>
        <v/>
      </c>
      <c r="S34" s="18">
        <f>IF(C34&gt;20, 0, Q34)</f>
        <v/>
      </c>
      <c r="T34" s="18">
        <f>IF(C34&gt;20, Q34*0.2*W34, 0)</f>
        <v/>
      </c>
      <c r="U34" s="18">
        <f>MAX(0, J34 - P34 - S34)</f>
        <v/>
      </c>
      <c r="V34" s="18">
        <f>P34 + S34 + U34</f>
        <v/>
      </c>
      <c r="W34" s="18">
        <f>IF(OR(B34&gt;=34, F34=1), 11700000, 9000000)</f>
        <v/>
      </c>
      <c r="X34" s="17" t="n">
        <v>0.02</v>
      </c>
      <c r="Y34" s="18">
        <f>AVERAGE(J31:J33)</f>
        <v/>
      </c>
      <c r="Z34" s="18">
        <f>ABS(J34 - Y34)</f>
        <v/>
      </c>
      <c r="AA34" s="18">
        <f>IF(Y34="", 0, IF(Y34&gt;J34, (Y34-J34)*2700000, 0))</f>
        <v/>
      </c>
      <c r="AB34" s="18">
        <f>IF(Y34="", 0, IF(J34&gt;Y34, (J34-Y34)*6000000, 0))</f>
        <v/>
      </c>
      <c r="AC34" s="18">
        <f>AA34 + AB34</f>
        <v/>
      </c>
      <c r="AD34" s="18">
        <f>ABS(V34 - J34)</f>
        <v/>
      </c>
      <c r="AE34" s="18">
        <f>IF(V34&gt;J34, (V34-J34)*2700000, 0)</f>
        <v/>
      </c>
      <c r="AF34" s="18">
        <f>IF(J34&gt;V34, (J34-V34)*6000000, 0)</f>
        <v/>
      </c>
      <c r="AG34" s="18">
        <f>AE34 + AF34 + T34</f>
        <v/>
      </c>
    </row>
    <row r="35">
      <c r="A35" s="14" t="inlineStr">
        <is>
          <t>Ngày 33 (02/06)</t>
        </is>
      </c>
      <c r="B35" s="15" t="n">
        <v>34.5</v>
      </c>
      <c r="C35" s="15" t="n">
        <v>0.1</v>
      </c>
      <c r="D35" s="16" t="n">
        <v>0.512</v>
      </c>
      <c r="E35" s="17" t="n">
        <v>441.4</v>
      </c>
      <c r="F35" s="18" t="n">
        <v>0</v>
      </c>
      <c r="G35" s="19" t="n">
        <v>419.2</v>
      </c>
      <c r="H35" s="19">
        <f>G35*IF(F35=1, 0.85, 0.8)</f>
        <v/>
      </c>
      <c r="I35" s="14" t="inlineStr">
        <is>
          <t>2-4</t>
        </is>
      </c>
      <c r="J35" s="18">
        <f>INT(H35/(18*0.96))</f>
        <v/>
      </c>
      <c r="K35" s="19">
        <f>MAX(15, ROUND(TREND(G$3:G$94, E$3:E$94, E35), 1))</f>
        <v/>
      </c>
      <c r="L35" s="19">
        <f>MAX(15, ROUND(TREND(G$3:G$94, B$3:E$94, B35:E35), 1))</f>
        <v/>
      </c>
      <c r="M35" s="19">
        <f>MAX(15, ROUND(TREND(G$3:G$94, B$3:F$94, B35:F35), 1))</f>
        <v/>
      </c>
      <c r="N35" s="19">
        <f>M35*IF(F35=1, 0.85, 0.8)</f>
        <v/>
      </c>
      <c r="O35" s="18">
        <f>MAX(0, INT(N35/(18*0.96)))</f>
        <v/>
      </c>
      <c r="P35" s="18">
        <f>MAX(0, ROUND(O35*70%, 0))</f>
        <v/>
      </c>
      <c r="Q35" s="18">
        <f>MAX(0, MIN(ROUNDUP(O35*0.2, 0), MAX(0, O35 - P35)))</f>
        <v/>
      </c>
      <c r="R35" s="14">
        <f>IF(C35&gt;20, "Hủy slot (Mưa &gt; 20mm)", "Kích hoạt")</f>
        <v/>
      </c>
      <c r="S35" s="18">
        <f>IF(C35&gt;20, 0, Q35)</f>
        <v/>
      </c>
      <c r="T35" s="18">
        <f>IF(C35&gt;20, Q35*0.2*W35, 0)</f>
        <v/>
      </c>
      <c r="U35" s="18">
        <f>MAX(0, J35 - P35 - S35)</f>
        <v/>
      </c>
      <c r="V35" s="18">
        <f>P35 + S35 + U35</f>
        <v/>
      </c>
      <c r="W35" s="18">
        <f>IF(OR(B35&gt;=34, F35=1), 11700000, 9000000)</f>
        <v/>
      </c>
      <c r="X35" s="17" t="n">
        <v>0.02</v>
      </c>
      <c r="Y35" s="18">
        <f>AVERAGE(J32:J34)</f>
        <v/>
      </c>
      <c r="Z35" s="18">
        <f>ABS(J35 - Y35)</f>
        <v/>
      </c>
      <c r="AA35" s="18">
        <f>IF(Y35="", 0, IF(Y35&gt;J35, (Y35-J35)*2700000, 0))</f>
        <v/>
      </c>
      <c r="AB35" s="18">
        <f>IF(Y35="", 0, IF(J35&gt;Y35, (J35-Y35)*6000000, 0))</f>
        <v/>
      </c>
      <c r="AC35" s="18">
        <f>AA35 + AB35</f>
        <v/>
      </c>
      <c r="AD35" s="18">
        <f>ABS(V35 - J35)</f>
        <v/>
      </c>
      <c r="AE35" s="18">
        <f>IF(V35&gt;J35, (V35-J35)*2700000, 0)</f>
        <v/>
      </c>
      <c r="AF35" s="18">
        <f>IF(J35&gt;V35, (J35-V35)*6000000, 0)</f>
        <v/>
      </c>
      <c r="AG35" s="18">
        <f>AE35 + AF35 + T35</f>
        <v/>
      </c>
    </row>
    <row r="36">
      <c r="A36" s="14" t="inlineStr">
        <is>
          <t>Ngày 34 (03/06)</t>
        </is>
      </c>
      <c r="B36" s="15" t="n">
        <v>33.9</v>
      </c>
      <c r="C36" s="15" t="n">
        <v>4.4</v>
      </c>
      <c r="D36" s="16" t="n">
        <v>0.5570000000000001</v>
      </c>
      <c r="E36" s="17" t="n">
        <v>423.9</v>
      </c>
      <c r="F36" s="18" t="n">
        <v>0</v>
      </c>
      <c r="G36" s="19" t="n">
        <v>410.6</v>
      </c>
      <c r="H36" s="19">
        <f>G36*IF(F36=1, 0.85, 0.8)</f>
        <v/>
      </c>
      <c r="I36" s="14" t="inlineStr">
        <is>
          <t>2-4</t>
        </is>
      </c>
      <c r="J36" s="18">
        <f>INT(H36/(18*0.96))</f>
        <v/>
      </c>
      <c r="K36" s="19">
        <f>MAX(15, ROUND(TREND(G$3:G$94, E$3:E$94, E36), 1))</f>
        <v/>
      </c>
      <c r="L36" s="19">
        <f>MAX(15, ROUND(TREND(G$3:G$94, B$3:E$94, B36:E36), 1))</f>
        <v/>
      </c>
      <c r="M36" s="19">
        <f>MAX(15, ROUND(TREND(G$3:G$94, B$3:F$94, B36:F36), 1))</f>
        <v/>
      </c>
      <c r="N36" s="19">
        <f>M36*IF(F36=1, 0.85, 0.8)</f>
        <v/>
      </c>
      <c r="O36" s="18">
        <f>MAX(0, INT(N36/(18*0.96)))</f>
        <v/>
      </c>
      <c r="P36" s="18">
        <f>MAX(0, ROUND(O36*70%, 0))</f>
        <v/>
      </c>
      <c r="Q36" s="18">
        <f>MAX(0, MIN(ROUNDUP(O36*0.2, 0), MAX(0, O36 - P36)))</f>
        <v/>
      </c>
      <c r="R36" s="14">
        <f>IF(C36&gt;20, "Hủy slot (Mưa &gt; 20mm)", "Kích hoạt")</f>
        <v/>
      </c>
      <c r="S36" s="18">
        <f>IF(C36&gt;20, 0, Q36)</f>
        <v/>
      </c>
      <c r="T36" s="18">
        <f>IF(C36&gt;20, Q36*0.2*W36, 0)</f>
        <v/>
      </c>
      <c r="U36" s="18">
        <f>MAX(0, J36 - P36 - S36)</f>
        <v/>
      </c>
      <c r="V36" s="18">
        <f>P36 + S36 + U36</f>
        <v/>
      </c>
      <c r="W36" s="18">
        <f>IF(OR(B36&gt;=34, F36=1), 11700000, 9000000)</f>
        <v/>
      </c>
      <c r="X36" s="17" t="n">
        <v>0.02</v>
      </c>
      <c r="Y36" s="18">
        <f>AVERAGE(J33:J35)</f>
        <v/>
      </c>
      <c r="Z36" s="18">
        <f>ABS(J36 - Y36)</f>
        <v/>
      </c>
      <c r="AA36" s="18">
        <f>IF(Y36="", 0, IF(Y36&gt;J36, (Y36-J36)*2700000, 0))</f>
        <v/>
      </c>
      <c r="AB36" s="18">
        <f>IF(Y36="", 0, IF(J36&gt;Y36, (J36-Y36)*6000000, 0))</f>
        <v/>
      </c>
      <c r="AC36" s="18">
        <f>AA36 + AB36</f>
        <v/>
      </c>
      <c r="AD36" s="18">
        <f>ABS(V36 - J36)</f>
        <v/>
      </c>
      <c r="AE36" s="18">
        <f>IF(V36&gt;J36, (V36-J36)*2700000, 0)</f>
        <v/>
      </c>
      <c r="AF36" s="18">
        <f>IF(J36&gt;V36, (J36-V36)*6000000, 0)</f>
        <v/>
      </c>
      <c r="AG36" s="18">
        <f>AE36 + AF36 + T36</f>
        <v/>
      </c>
    </row>
    <row r="37">
      <c r="A37" s="14" t="inlineStr">
        <is>
          <t>Ngày 35 (04/06)</t>
        </is>
      </c>
      <c r="B37" s="15" t="n">
        <v>35.8</v>
      </c>
      <c r="C37" s="15" t="n">
        <v>13.6</v>
      </c>
      <c r="D37" s="16" t="n">
        <v>0.604</v>
      </c>
      <c r="E37" s="17" t="n">
        <v>521.8</v>
      </c>
      <c r="F37" s="18" t="n">
        <v>1</v>
      </c>
      <c r="G37" s="19" t="n">
        <v>441.2</v>
      </c>
      <c r="H37" s="19">
        <f>G37*IF(F37=1, 0.85, 0.8)</f>
        <v/>
      </c>
      <c r="I37" s="14" t="inlineStr">
        <is>
          <t>2-4</t>
        </is>
      </c>
      <c r="J37" s="18">
        <f>INT(H37/(18*0.96))</f>
        <v/>
      </c>
      <c r="K37" s="19">
        <f>MAX(15, ROUND(TREND(G$3:G$94, E$3:E$94, E37), 1))</f>
        <v/>
      </c>
      <c r="L37" s="19">
        <f>MAX(15, ROUND(TREND(G$3:G$94, B$3:E$94, B37:E37), 1))</f>
        <v/>
      </c>
      <c r="M37" s="19">
        <f>MAX(15, ROUND(TREND(G$3:G$94, B$3:F$94, B37:F37), 1))</f>
        <v/>
      </c>
      <c r="N37" s="19">
        <f>M37*IF(F37=1, 0.85, 0.8)</f>
        <v/>
      </c>
      <c r="O37" s="18">
        <f>MAX(0, INT(N37/(18*0.96)))</f>
        <v/>
      </c>
      <c r="P37" s="18">
        <f>MAX(0, ROUND(O37*70%, 0))</f>
        <v/>
      </c>
      <c r="Q37" s="18">
        <f>MAX(0, MIN(ROUNDUP(O37*0.2, 0), MAX(0, O37 - P37)))</f>
        <v/>
      </c>
      <c r="R37" s="14">
        <f>IF(C37&gt;20, "Hủy slot (Mưa &gt; 20mm)", "Kích hoạt")</f>
        <v/>
      </c>
      <c r="S37" s="18">
        <f>IF(C37&gt;20, 0, Q37)</f>
        <v/>
      </c>
      <c r="T37" s="18">
        <f>IF(C37&gt;20, Q37*0.2*W37, 0)</f>
        <v/>
      </c>
      <c r="U37" s="18">
        <f>MAX(0, J37 - P37 - S37)</f>
        <v/>
      </c>
      <c r="V37" s="18">
        <f>P37 + S37 + U37</f>
        <v/>
      </c>
      <c r="W37" s="18">
        <f>IF(OR(B37&gt;=34, F37=1), 11700000, 9000000)</f>
        <v/>
      </c>
      <c r="X37" s="17" t="n">
        <v>0.02</v>
      </c>
      <c r="Y37" s="18">
        <f>AVERAGE(J34:J36)</f>
        <v/>
      </c>
      <c r="Z37" s="18">
        <f>ABS(J37 - Y37)</f>
        <v/>
      </c>
      <c r="AA37" s="18">
        <f>IF(Y37="", 0, IF(Y37&gt;J37, (Y37-J37)*2700000, 0))</f>
        <v/>
      </c>
      <c r="AB37" s="18">
        <f>IF(Y37="", 0, IF(J37&gt;Y37, (J37-Y37)*6000000, 0))</f>
        <v/>
      </c>
      <c r="AC37" s="18">
        <f>AA37 + AB37</f>
        <v/>
      </c>
      <c r="AD37" s="18">
        <f>ABS(V37 - J37)</f>
        <v/>
      </c>
      <c r="AE37" s="18">
        <f>IF(V37&gt;J37, (V37-J37)*2700000, 0)</f>
        <v/>
      </c>
      <c r="AF37" s="18">
        <f>IF(J37&gt;V37, (J37-V37)*6000000, 0)</f>
        <v/>
      </c>
      <c r="AG37" s="18">
        <f>AE37 + AF37 + T37</f>
        <v/>
      </c>
    </row>
    <row r="38">
      <c r="A38" s="14" t="inlineStr">
        <is>
          <t>Ngày 36 (05/06)</t>
        </is>
      </c>
      <c r="B38" s="15" t="n">
        <v>30.8</v>
      </c>
      <c r="C38" s="15" t="n">
        <v>3.4</v>
      </c>
      <c r="D38" s="16" t="n">
        <v>0.656</v>
      </c>
      <c r="E38" s="17" t="n">
        <v>590.7</v>
      </c>
      <c r="F38" s="18" t="n">
        <v>1</v>
      </c>
      <c r="G38" s="19" t="n">
        <v>543.2</v>
      </c>
      <c r="H38" s="19">
        <f>G38*IF(F38=1, 0.85, 0.8)</f>
        <v/>
      </c>
      <c r="I38" s="14" t="inlineStr">
        <is>
          <t>2-4</t>
        </is>
      </c>
      <c r="J38" s="18">
        <f>INT(H38/(18*0.96))</f>
        <v/>
      </c>
      <c r="K38" s="19">
        <f>MAX(15, ROUND(TREND(G$3:G$94, E$3:E$94, E38), 1))</f>
        <v/>
      </c>
      <c r="L38" s="19">
        <f>MAX(15, ROUND(TREND(G$3:G$94, B$3:E$94, B38:E38), 1))</f>
        <v/>
      </c>
      <c r="M38" s="19">
        <f>MAX(15, ROUND(TREND(G$3:G$94, B$3:F$94, B38:F38), 1))</f>
        <v/>
      </c>
      <c r="N38" s="19">
        <f>M38*IF(F38=1, 0.85, 0.8)</f>
        <v/>
      </c>
      <c r="O38" s="18">
        <f>MAX(0, INT(N38/(18*0.96)))</f>
        <v/>
      </c>
      <c r="P38" s="18">
        <f>MAX(0, ROUND(O38*70%, 0))</f>
        <v/>
      </c>
      <c r="Q38" s="18">
        <f>MAX(0, MIN(ROUNDUP(O38*0.2, 0), MAX(0, O38 - P38)))</f>
        <v/>
      </c>
      <c r="R38" s="14">
        <f>IF(C38&gt;20, "Hủy slot (Mưa &gt; 20mm)", "Kích hoạt")</f>
        <v/>
      </c>
      <c r="S38" s="18">
        <f>IF(C38&gt;20, 0, Q38)</f>
        <v/>
      </c>
      <c r="T38" s="18">
        <f>IF(C38&gt;20, Q38*0.2*W38, 0)</f>
        <v/>
      </c>
      <c r="U38" s="18">
        <f>MAX(0, J38 - P38 - S38)</f>
        <v/>
      </c>
      <c r="V38" s="18">
        <f>P38 + S38 + U38</f>
        <v/>
      </c>
      <c r="W38" s="18">
        <f>IF(OR(B38&gt;=34, F38=1), 11700000, 9000000)</f>
        <v/>
      </c>
      <c r="X38" s="17" t="n">
        <v>0.02</v>
      </c>
      <c r="Y38" s="18">
        <f>AVERAGE(J35:J37)</f>
        <v/>
      </c>
      <c r="Z38" s="18">
        <f>ABS(J38 - Y38)</f>
        <v/>
      </c>
      <c r="AA38" s="18">
        <f>IF(Y38="", 0, IF(Y38&gt;J38, (Y38-J38)*2700000, 0))</f>
        <v/>
      </c>
      <c r="AB38" s="18">
        <f>IF(Y38="", 0, IF(J38&gt;Y38, (J38-Y38)*6000000, 0))</f>
        <v/>
      </c>
      <c r="AC38" s="18">
        <f>AA38 + AB38</f>
        <v/>
      </c>
      <c r="AD38" s="18">
        <f>ABS(V38 - J38)</f>
        <v/>
      </c>
      <c r="AE38" s="18">
        <f>IF(V38&gt;J38, (V38-J38)*2700000, 0)</f>
        <v/>
      </c>
      <c r="AF38" s="18">
        <f>IF(J38&gt;V38, (J38-V38)*6000000, 0)</f>
        <v/>
      </c>
      <c r="AG38" s="18">
        <f>AE38 + AF38 + T38</f>
        <v/>
      </c>
    </row>
    <row r="39">
      <c r="A39" s="14" t="inlineStr">
        <is>
          <t>Ngày 37 (06/06)</t>
        </is>
      </c>
      <c r="B39" s="15" t="n">
        <v>34.3</v>
      </c>
      <c r="C39" s="15" t="n">
        <v>9.6</v>
      </c>
      <c r="D39" s="16" t="n">
        <v>0.699</v>
      </c>
      <c r="E39" s="17" t="n">
        <v>495.8</v>
      </c>
      <c r="F39" s="18" t="n">
        <v>0</v>
      </c>
      <c r="G39" s="19" t="n">
        <v>454.5</v>
      </c>
      <c r="H39" s="19">
        <f>G39*IF(F39=1, 0.85, 0.8)</f>
        <v/>
      </c>
      <c r="I39" s="14" t="inlineStr">
        <is>
          <t>2-4</t>
        </is>
      </c>
      <c r="J39" s="18">
        <f>INT(H39/(18*0.96))</f>
        <v/>
      </c>
      <c r="K39" s="19">
        <f>MAX(15, ROUND(TREND(G$3:G$94, E$3:E$94, E39), 1))</f>
        <v/>
      </c>
      <c r="L39" s="19">
        <f>MAX(15, ROUND(TREND(G$3:G$94, B$3:E$94, B39:E39), 1))</f>
        <v/>
      </c>
      <c r="M39" s="19">
        <f>MAX(15, ROUND(TREND(G$3:G$94, B$3:F$94, B39:F39), 1))</f>
        <v/>
      </c>
      <c r="N39" s="19">
        <f>M39*IF(F39=1, 0.85, 0.8)</f>
        <v/>
      </c>
      <c r="O39" s="18">
        <f>MAX(0, INT(N39/(18*0.96)))</f>
        <v/>
      </c>
      <c r="P39" s="18">
        <f>MAX(0, ROUND(O39*70%, 0))</f>
        <v/>
      </c>
      <c r="Q39" s="18">
        <f>MAX(0, MIN(ROUNDUP(O39*0.2, 0), MAX(0, O39 - P39)))</f>
        <v/>
      </c>
      <c r="R39" s="14">
        <f>IF(C39&gt;20, "Hủy slot (Mưa &gt; 20mm)", "Kích hoạt")</f>
        <v/>
      </c>
      <c r="S39" s="18">
        <f>IF(C39&gt;20, 0, Q39)</f>
        <v/>
      </c>
      <c r="T39" s="18">
        <f>IF(C39&gt;20, Q39*0.2*W39, 0)</f>
        <v/>
      </c>
      <c r="U39" s="18">
        <f>MAX(0, J39 - P39 - S39)</f>
        <v/>
      </c>
      <c r="V39" s="18">
        <f>P39 + S39 + U39</f>
        <v/>
      </c>
      <c r="W39" s="18">
        <f>IF(OR(B39&gt;=34, F39=1), 11700000, 9000000)</f>
        <v/>
      </c>
      <c r="X39" s="17" t="n">
        <v>0.02</v>
      </c>
      <c r="Y39" s="18">
        <f>AVERAGE(J36:J38)</f>
        <v/>
      </c>
      <c r="Z39" s="18">
        <f>ABS(J39 - Y39)</f>
        <v/>
      </c>
      <c r="AA39" s="18">
        <f>IF(Y39="", 0, IF(Y39&gt;J39, (Y39-J39)*2700000, 0))</f>
        <v/>
      </c>
      <c r="AB39" s="18">
        <f>IF(Y39="", 0, IF(J39&gt;Y39, (J39-Y39)*6000000, 0))</f>
        <v/>
      </c>
      <c r="AC39" s="18">
        <f>AA39 + AB39</f>
        <v/>
      </c>
      <c r="AD39" s="18">
        <f>ABS(V39 - J39)</f>
        <v/>
      </c>
      <c r="AE39" s="18">
        <f>IF(V39&gt;J39, (V39-J39)*2700000, 0)</f>
        <v/>
      </c>
      <c r="AF39" s="18">
        <f>IF(J39&gt;V39, (J39-V39)*6000000, 0)</f>
        <v/>
      </c>
      <c r="AG39" s="18">
        <f>AE39 + AF39 + T39</f>
        <v/>
      </c>
    </row>
    <row r="40">
      <c r="A40" s="14" t="inlineStr">
        <is>
          <t>Ngày 38 (07/06)</t>
        </is>
      </c>
      <c r="B40" s="15" t="n">
        <v>35.5</v>
      </c>
      <c r="C40" s="15" t="n">
        <v>0.2</v>
      </c>
      <c r="D40" s="16" t="n">
        <v>0.738</v>
      </c>
      <c r="E40" s="17" t="n">
        <v>512</v>
      </c>
      <c r="F40" s="18" t="n">
        <v>0</v>
      </c>
      <c r="G40" s="19" t="n">
        <v>557.1</v>
      </c>
      <c r="H40" s="19">
        <f>G40*IF(F40=1, 0.85, 0.8)</f>
        <v/>
      </c>
      <c r="I40" s="14" t="inlineStr">
        <is>
          <t>2-4</t>
        </is>
      </c>
      <c r="J40" s="18">
        <f>INT(H40/(18*0.96))</f>
        <v/>
      </c>
      <c r="K40" s="19">
        <f>MAX(15, ROUND(TREND(G$3:G$94, E$3:E$94, E40), 1))</f>
        <v/>
      </c>
      <c r="L40" s="19">
        <f>MAX(15, ROUND(TREND(G$3:G$94, B$3:E$94, B40:E40), 1))</f>
        <v/>
      </c>
      <c r="M40" s="19">
        <f>MAX(15, ROUND(TREND(G$3:G$94, B$3:F$94, B40:F40), 1))</f>
        <v/>
      </c>
      <c r="N40" s="19">
        <f>M40*IF(F40=1, 0.85, 0.8)</f>
        <v/>
      </c>
      <c r="O40" s="18">
        <f>MAX(0, INT(N40/(18*0.96)))</f>
        <v/>
      </c>
      <c r="P40" s="18">
        <f>MAX(0, ROUND(O40*70%, 0))</f>
        <v/>
      </c>
      <c r="Q40" s="18">
        <f>MAX(0, MIN(ROUNDUP(O40*0.2, 0), MAX(0, O40 - P40)))</f>
        <v/>
      </c>
      <c r="R40" s="14">
        <f>IF(C40&gt;20, "Hủy slot (Mưa &gt; 20mm)", "Kích hoạt")</f>
        <v/>
      </c>
      <c r="S40" s="18">
        <f>IF(C40&gt;20, 0, Q40)</f>
        <v/>
      </c>
      <c r="T40" s="18">
        <f>IF(C40&gt;20, Q40*0.2*W40, 0)</f>
        <v/>
      </c>
      <c r="U40" s="18">
        <f>MAX(0, J40 - P40 - S40)</f>
        <v/>
      </c>
      <c r="V40" s="18">
        <f>P40 + S40 + U40</f>
        <v/>
      </c>
      <c r="W40" s="18">
        <f>IF(OR(B40&gt;=34, F40=1), 11700000, 9000000)</f>
        <v/>
      </c>
      <c r="X40" s="17" t="n">
        <v>0.02</v>
      </c>
      <c r="Y40" s="18">
        <f>AVERAGE(J37:J39)</f>
        <v/>
      </c>
      <c r="Z40" s="18">
        <f>ABS(J40 - Y40)</f>
        <v/>
      </c>
      <c r="AA40" s="18">
        <f>IF(Y40="", 0, IF(Y40&gt;J40, (Y40-J40)*2700000, 0))</f>
        <v/>
      </c>
      <c r="AB40" s="18">
        <f>IF(Y40="", 0, IF(J40&gt;Y40, (J40-Y40)*6000000, 0))</f>
        <v/>
      </c>
      <c r="AC40" s="18">
        <f>AA40 + AB40</f>
        <v/>
      </c>
      <c r="AD40" s="18">
        <f>ABS(V40 - J40)</f>
        <v/>
      </c>
      <c r="AE40" s="18">
        <f>IF(V40&gt;J40, (V40-J40)*2700000, 0)</f>
        <v/>
      </c>
      <c r="AF40" s="18">
        <f>IF(J40&gt;V40, (J40-V40)*6000000, 0)</f>
        <v/>
      </c>
      <c r="AG40" s="18">
        <f>AE40 + AF40 + T40</f>
        <v/>
      </c>
    </row>
    <row r="41">
      <c r="A41" s="14" t="inlineStr">
        <is>
          <t>Ngày 39 (08/06)</t>
        </is>
      </c>
      <c r="B41" s="15" t="n">
        <v>34.7</v>
      </c>
      <c r="C41" s="15" t="n">
        <v>2.9</v>
      </c>
      <c r="D41" s="16" t="n">
        <v>0.775</v>
      </c>
      <c r="E41" s="17" t="n">
        <v>529.2</v>
      </c>
      <c r="F41" s="18" t="n">
        <v>0</v>
      </c>
      <c r="G41" s="19" t="n">
        <v>524.8</v>
      </c>
      <c r="H41" s="19">
        <f>G41*IF(F41=1, 0.85, 0.8)</f>
        <v/>
      </c>
      <c r="I41" s="14" t="inlineStr">
        <is>
          <t>2-4</t>
        </is>
      </c>
      <c r="J41" s="18">
        <f>INT(H41/(18*0.96))</f>
        <v/>
      </c>
      <c r="K41" s="19">
        <f>MAX(15, ROUND(TREND(G$3:G$94, E$3:E$94, E41), 1))</f>
        <v/>
      </c>
      <c r="L41" s="19">
        <f>MAX(15, ROUND(TREND(G$3:G$94, B$3:E$94, B41:E41), 1))</f>
        <v/>
      </c>
      <c r="M41" s="19">
        <f>MAX(15, ROUND(TREND(G$3:G$94, B$3:F$94, B41:F41), 1))</f>
        <v/>
      </c>
      <c r="N41" s="19">
        <f>M41*IF(F41=1, 0.85, 0.8)</f>
        <v/>
      </c>
      <c r="O41" s="18">
        <f>MAX(0, INT(N41/(18*0.96)))</f>
        <v/>
      </c>
      <c r="P41" s="18">
        <f>MAX(0, ROUND(O41*70%, 0))</f>
        <v/>
      </c>
      <c r="Q41" s="18">
        <f>MAX(0, MIN(ROUNDUP(O41*0.2, 0), MAX(0, O41 - P41)))</f>
        <v/>
      </c>
      <c r="R41" s="14">
        <f>IF(C41&gt;20, "Hủy slot (Mưa &gt; 20mm)", "Kích hoạt")</f>
        <v/>
      </c>
      <c r="S41" s="18">
        <f>IF(C41&gt;20, 0, Q41)</f>
        <v/>
      </c>
      <c r="T41" s="18">
        <f>IF(C41&gt;20, Q41*0.2*W41, 0)</f>
        <v/>
      </c>
      <c r="U41" s="18">
        <f>MAX(0, J41 - P41 - S41)</f>
        <v/>
      </c>
      <c r="V41" s="18">
        <f>P41 + S41 + U41</f>
        <v/>
      </c>
      <c r="W41" s="18">
        <f>IF(OR(B41&gt;=34, F41=1), 11700000, 9000000)</f>
        <v/>
      </c>
      <c r="X41" s="17" t="n">
        <v>0.02</v>
      </c>
      <c r="Y41" s="18">
        <f>AVERAGE(J38:J40)</f>
        <v/>
      </c>
      <c r="Z41" s="18">
        <f>ABS(J41 - Y41)</f>
        <v/>
      </c>
      <c r="AA41" s="18">
        <f>IF(Y41="", 0, IF(Y41&gt;J41, (Y41-J41)*2700000, 0))</f>
        <v/>
      </c>
      <c r="AB41" s="18">
        <f>IF(Y41="", 0, IF(J41&gt;Y41, (J41-Y41)*6000000, 0))</f>
        <v/>
      </c>
      <c r="AC41" s="18">
        <f>AA41 + AB41</f>
        <v/>
      </c>
      <c r="AD41" s="18">
        <f>ABS(V41 - J41)</f>
        <v/>
      </c>
      <c r="AE41" s="18">
        <f>IF(V41&gt;J41, (V41-J41)*2700000, 0)</f>
        <v/>
      </c>
      <c r="AF41" s="18">
        <f>IF(J41&gt;V41, (J41-V41)*6000000, 0)</f>
        <v/>
      </c>
      <c r="AG41" s="18">
        <f>AE41 + AF41 + T41</f>
        <v/>
      </c>
    </row>
    <row r="42">
      <c r="A42" s="14" t="inlineStr">
        <is>
          <t>Ngày 40 (09/06)</t>
        </is>
      </c>
      <c r="B42" s="15" t="n">
        <v>28.6</v>
      </c>
      <c r="C42" s="15" t="n">
        <v>1</v>
      </c>
      <c r="D42" s="16" t="n">
        <v>0.801</v>
      </c>
      <c r="E42" s="17" t="n">
        <v>557.2</v>
      </c>
      <c r="F42" s="18" t="n">
        <v>0</v>
      </c>
      <c r="G42" s="19" t="n">
        <v>525.2</v>
      </c>
      <c r="H42" s="19">
        <f>G42*IF(F42=1, 0.85, 0.8)</f>
        <v/>
      </c>
      <c r="I42" s="14" t="inlineStr">
        <is>
          <t>2-4</t>
        </is>
      </c>
      <c r="J42" s="18">
        <f>INT(H42/(18*0.96))</f>
        <v/>
      </c>
      <c r="K42" s="19">
        <f>MAX(15, ROUND(TREND(G$3:G$94, E$3:E$94, E42), 1))</f>
        <v/>
      </c>
      <c r="L42" s="19">
        <f>MAX(15, ROUND(TREND(G$3:G$94, B$3:E$94, B42:E42), 1))</f>
        <v/>
      </c>
      <c r="M42" s="19">
        <f>MAX(15, ROUND(TREND(G$3:G$94, B$3:F$94, B42:F42), 1))</f>
        <v/>
      </c>
      <c r="N42" s="19">
        <f>M42*IF(F42=1, 0.85, 0.8)</f>
        <v/>
      </c>
      <c r="O42" s="18">
        <f>MAX(0, INT(N42/(18*0.96)))</f>
        <v/>
      </c>
      <c r="P42" s="18">
        <f>MAX(0, ROUND(O42*70%, 0))</f>
        <v/>
      </c>
      <c r="Q42" s="18">
        <f>MAX(0, MIN(ROUNDUP(O42*0.2, 0), MAX(0, O42 - P42)))</f>
        <v/>
      </c>
      <c r="R42" s="14">
        <f>IF(C42&gt;20, "Hủy slot (Mưa &gt; 20mm)", "Kích hoạt")</f>
        <v/>
      </c>
      <c r="S42" s="18">
        <f>IF(C42&gt;20, 0, Q42)</f>
        <v/>
      </c>
      <c r="T42" s="18">
        <f>IF(C42&gt;20, Q42*0.2*W42, 0)</f>
        <v/>
      </c>
      <c r="U42" s="18">
        <f>MAX(0, J42 - P42 - S42)</f>
        <v/>
      </c>
      <c r="V42" s="18">
        <f>P42 + S42 + U42</f>
        <v/>
      </c>
      <c r="W42" s="18">
        <f>IF(OR(B42&gt;=34, F42=1), 11700000, 9000000)</f>
        <v/>
      </c>
      <c r="X42" s="17" t="n">
        <v>0.02</v>
      </c>
      <c r="Y42" s="18">
        <f>AVERAGE(J39:J41)</f>
        <v/>
      </c>
      <c r="Z42" s="18">
        <f>ABS(J42 - Y42)</f>
        <v/>
      </c>
      <c r="AA42" s="18">
        <f>IF(Y42="", 0, IF(Y42&gt;J42, (Y42-J42)*2700000, 0))</f>
        <v/>
      </c>
      <c r="AB42" s="18">
        <f>IF(Y42="", 0, IF(J42&gt;Y42, (J42-Y42)*6000000, 0))</f>
        <v/>
      </c>
      <c r="AC42" s="18">
        <f>AA42 + AB42</f>
        <v/>
      </c>
      <c r="AD42" s="18">
        <f>ABS(V42 - J42)</f>
        <v/>
      </c>
      <c r="AE42" s="18">
        <f>IF(V42&gt;J42, (V42-J42)*2700000, 0)</f>
        <v/>
      </c>
      <c r="AF42" s="18">
        <f>IF(J42&gt;V42, (J42-V42)*6000000, 0)</f>
        <v/>
      </c>
      <c r="AG42" s="18">
        <f>AE42 + AF42 + T42</f>
        <v/>
      </c>
    </row>
    <row r="43">
      <c r="A43" s="14" t="inlineStr">
        <is>
          <t>Ngày 41 (10/06)</t>
        </is>
      </c>
      <c r="B43" s="15" t="n">
        <v>31.6</v>
      </c>
      <c r="C43" s="15" t="n">
        <v>1.2</v>
      </c>
      <c r="D43" s="16" t="n">
        <v>0.847</v>
      </c>
      <c r="E43" s="17" t="n">
        <v>526</v>
      </c>
      <c r="F43" s="18" t="n">
        <v>0</v>
      </c>
      <c r="G43" s="19" t="n">
        <v>549.4</v>
      </c>
      <c r="H43" s="19">
        <f>G43*IF(F43=1, 0.85, 0.8)</f>
        <v/>
      </c>
      <c r="I43" s="14" t="inlineStr">
        <is>
          <t>2-4</t>
        </is>
      </c>
      <c r="J43" s="18">
        <f>INT(H43/(18*0.96))</f>
        <v/>
      </c>
      <c r="K43" s="19">
        <f>MAX(15, ROUND(TREND(G$3:G$94, E$3:E$94, E43), 1))</f>
        <v/>
      </c>
      <c r="L43" s="19">
        <f>MAX(15, ROUND(TREND(G$3:G$94, B$3:E$94, B43:E43), 1))</f>
        <v/>
      </c>
      <c r="M43" s="19">
        <f>MAX(15, ROUND(TREND(G$3:G$94, B$3:F$94, B43:F43), 1))</f>
        <v/>
      </c>
      <c r="N43" s="19">
        <f>M43*IF(F43=1, 0.85, 0.8)</f>
        <v/>
      </c>
      <c r="O43" s="18">
        <f>MAX(0, INT(N43/(18*0.96)))</f>
        <v/>
      </c>
      <c r="P43" s="18">
        <f>MAX(0, ROUND(O43*70%, 0))</f>
        <v/>
      </c>
      <c r="Q43" s="18">
        <f>MAX(0, MIN(ROUNDUP(O43*0.2, 0), MAX(0, O43 - P43)))</f>
        <v/>
      </c>
      <c r="R43" s="14">
        <f>IF(C43&gt;20, "Hủy slot (Mưa &gt; 20mm)", "Kích hoạt")</f>
        <v/>
      </c>
      <c r="S43" s="18">
        <f>IF(C43&gt;20, 0, Q43)</f>
        <v/>
      </c>
      <c r="T43" s="18">
        <f>IF(C43&gt;20, Q43*0.2*W43, 0)</f>
        <v/>
      </c>
      <c r="U43" s="18">
        <f>MAX(0, J43 - P43 - S43)</f>
        <v/>
      </c>
      <c r="V43" s="18">
        <f>P43 + S43 + U43</f>
        <v/>
      </c>
      <c r="W43" s="18">
        <f>IF(OR(B43&gt;=34, F43=1), 11700000, 9000000)</f>
        <v/>
      </c>
      <c r="X43" s="17" t="n">
        <v>0.02</v>
      </c>
      <c r="Y43" s="18">
        <f>AVERAGE(J40:J42)</f>
        <v/>
      </c>
      <c r="Z43" s="18">
        <f>ABS(J43 - Y43)</f>
        <v/>
      </c>
      <c r="AA43" s="18">
        <f>IF(Y43="", 0, IF(Y43&gt;J43, (Y43-J43)*2700000, 0))</f>
        <v/>
      </c>
      <c r="AB43" s="18">
        <f>IF(Y43="", 0, IF(J43&gt;Y43, (J43-Y43)*6000000, 0))</f>
        <v/>
      </c>
      <c r="AC43" s="18">
        <f>AA43 + AB43</f>
        <v/>
      </c>
      <c r="AD43" s="18">
        <f>ABS(V43 - J43)</f>
        <v/>
      </c>
      <c r="AE43" s="18">
        <f>IF(V43&gt;J43, (V43-J43)*2700000, 0)</f>
        <v/>
      </c>
      <c r="AF43" s="18">
        <f>IF(J43&gt;V43, (J43-V43)*6000000, 0)</f>
        <v/>
      </c>
      <c r="AG43" s="18">
        <f>AE43 + AF43 + T43</f>
        <v/>
      </c>
    </row>
    <row r="44">
      <c r="A44" s="14" t="inlineStr">
        <is>
          <t>Ngày 42 (11/06)</t>
        </is>
      </c>
      <c r="B44" s="15" t="n">
        <v>31.3</v>
      </c>
      <c r="C44" s="15" t="n">
        <v>2.3</v>
      </c>
      <c r="D44" s="16" t="n">
        <v>0.855</v>
      </c>
      <c r="E44" s="17" t="n">
        <v>634.3</v>
      </c>
      <c r="F44" s="18" t="n">
        <v>1</v>
      </c>
      <c r="G44" s="19" t="n">
        <v>650.9</v>
      </c>
      <c r="H44" s="19">
        <f>G44*IF(F44=1, 0.85, 0.8)</f>
        <v/>
      </c>
      <c r="I44" s="14" t="inlineStr">
        <is>
          <t>2-4</t>
        </is>
      </c>
      <c r="J44" s="18">
        <f>INT(H44/(18*0.96))</f>
        <v/>
      </c>
      <c r="K44" s="19">
        <f>MAX(15, ROUND(TREND(G$3:G$94, E$3:E$94, E44), 1))</f>
        <v/>
      </c>
      <c r="L44" s="19">
        <f>MAX(15, ROUND(TREND(G$3:G$94, B$3:E$94, B44:E44), 1))</f>
        <v/>
      </c>
      <c r="M44" s="19">
        <f>MAX(15, ROUND(TREND(G$3:G$94, B$3:F$94, B44:F44), 1))</f>
        <v/>
      </c>
      <c r="N44" s="19">
        <f>M44*IF(F44=1, 0.85, 0.8)</f>
        <v/>
      </c>
      <c r="O44" s="18">
        <f>MAX(0, INT(N44/(18*0.96)))</f>
        <v/>
      </c>
      <c r="P44" s="18">
        <f>MAX(0, ROUND(O44*70%, 0))</f>
        <v/>
      </c>
      <c r="Q44" s="18">
        <f>MAX(0, MIN(ROUNDUP(O44*0.2, 0), MAX(0, O44 - P44)))</f>
        <v/>
      </c>
      <c r="R44" s="14">
        <f>IF(C44&gt;20, "Hủy slot (Mưa &gt; 20mm)", "Kích hoạt")</f>
        <v/>
      </c>
      <c r="S44" s="18">
        <f>IF(C44&gt;20, 0, Q44)</f>
        <v/>
      </c>
      <c r="T44" s="18">
        <f>IF(C44&gt;20, Q44*0.2*W44, 0)</f>
        <v/>
      </c>
      <c r="U44" s="18">
        <f>MAX(0, J44 - P44 - S44)</f>
        <v/>
      </c>
      <c r="V44" s="18">
        <f>P44 + S44 + U44</f>
        <v/>
      </c>
      <c r="W44" s="18">
        <f>IF(OR(B44&gt;=34, F44=1), 11700000, 9000000)</f>
        <v/>
      </c>
      <c r="X44" s="17" t="n">
        <v>0.02</v>
      </c>
      <c r="Y44" s="18">
        <f>AVERAGE(J41:J43)</f>
        <v/>
      </c>
      <c r="Z44" s="18">
        <f>ABS(J44 - Y44)</f>
        <v/>
      </c>
      <c r="AA44" s="18">
        <f>IF(Y44="", 0, IF(Y44&gt;J44, (Y44-J44)*2700000, 0))</f>
        <v/>
      </c>
      <c r="AB44" s="18">
        <f>IF(Y44="", 0, IF(J44&gt;Y44, (J44-Y44)*6000000, 0))</f>
        <v/>
      </c>
      <c r="AC44" s="18">
        <f>AA44 + AB44</f>
        <v/>
      </c>
      <c r="AD44" s="18">
        <f>ABS(V44 - J44)</f>
        <v/>
      </c>
      <c r="AE44" s="18">
        <f>IF(V44&gt;J44, (V44-J44)*2700000, 0)</f>
        <v/>
      </c>
      <c r="AF44" s="18">
        <f>IF(J44&gt;V44, (J44-V44)*6000000, 0)</f>
        <v/>
      </c>
      <c r="AG44" s="18">
        <f>AE44 + AF44 + T44</f>
        <v/>
      </c>
    </row>
    <row r="45">
      <c r="A45" s="14" t="inlineStr">
        <is>
          <t>Ngày 43 (12/06)</t>
        </is>
      </c>
      <c r="B45" s="15" t="n">
        <v>32.3</v>
      </c>
      <c r="C45" s="15" t="n">
        <v>0.6</v>
      </c>
      <c r="D45" s="16" t="n">
        <v>0.879</v>
      </c>
      <c r="E45" s="17" t="n">
        <v>618</v>
      </c>
      <c r="F45" s="18" t="n">
        <v>1</v>
      </c>
      <c r="G45" s="19" t="n">
        <v>616.7</v>
      </c>
      <c r="H45" s="19">
        <f>G45*IF(F45=1, 0.85, 0.8)</f>
        <v/>
      </c>
      <c r="I45" s="14" t="inlineStr">
        <is>
          <t>2-4</t>
        </is>
      </c>
      <c r="J45" s="18">
        <f>INT(H45/(18*0.96))</f>
        <v/>
      </c>
      <c r="K45" s="19">
        <f>MAX(15, ROUND(TREND(G$3:G$94, E$3:E$94, E45), 1))</f>
        <v/>
      </c>
      <c r="L45" s="19">
        <f>MAX(15, ROUND(TREND(G$3:G$94, B$3:E$94, B45:E45), 1))</f>
        <v/>
      </c>
      <c r="M45" s="19">
        <f>MAX(15, ROUND(TREND(G$3:G$94, B$3:F$94, B45:F45), 1))</f>
        <v/>
      </c>
      <c r="N45" s="19">
        <f>M45*IF(F45=1, 0.85, 0.8)</f>
        <v/>
      </c>
      <c r="O45" s="18">
        <f>MAX(0, INT(N45/(18*0.96)))</f>
        <v/>
      </c>
      <c r="P45" s="18">
        <f>MAX(0, ROUND(O45*70%, 0))</f>
        <v/>
      </c>
      <c r="Q45" s="18">
        <f>MAX(0, MIN(ROUNDUP(O45*0.2, 0), MAX(0, O45 - P45)))</f>
        <v/>
      </c>
      <c r="R45" s="14">
        <f>IF(C45&gt;20, "Hủy slot (Mưa &gt; 20mm)", "Kích hoạt")</f>
        <v/>
      </c>
      <c r="S45" s="18">
        <f>IF(C45&gt;20, 0, Q45)</f>
        <v/>
      </c>
      <c r="T45" s="18">
        <f>IF(C45&gt;20, Q45*0.2*W45, 0)</f>
        <v/>
      </c>
      <c r="U45" s="18">
        <f>MAX(0, J45 - P45 - S45)</f>
        <v/>
      </c>
      <c r="V45" s="18">
        <f>P45 + S45 + U45</f>
        <v/>
      </c>
      <c r="W45" s="18">
        <f>IF(OR(B45&gt;=34, F45=1), 11700000, 9000000)</f>
        <v/>
      </c>
      <c r="X45" s="17" t="n">
        <v>0.02</v>
      </c>
      <c r="Y45" s="18">
        <f>AVERAGE(J42:J44)</f>
        <v/>
      </c>
      <c r="Z45" s="18">
        <f>ABS(J45 - Y45)</f>
        <v/>
      </c>
      <c r="AA45" s="18">
        <f>IF(Y45="", 0, IF(Y45&gt;J45, (Y45-J45)*2700000, 0))</f>
        <v/>
      </c>
      <c r="AB45" s="18">
        <f>IF(Y45="", 0, IF(J45&gt;Y45, (J45-Y45)*6000000, 0))</f>
        <v/>
      </c>
      <c r="AC45" s="18">
        <f>AA45 + AB45</f>
        <v/>
      </c>
      <c r="AD45" s="18">
        <f>ABS(V45 - J45)</f>
        <v/>
      </c>
      <c r="AE45" s="18">
        <f>IF(V45&gt;J45, (V45-J45)*2700000, 0)</f>
        <v/>
      </c>
      <c r="AF45" s="18">
        <f>IF(J45&gt;V45, (J45-V45)*6000000, 0)</f>
        <v/>
      </c>
      <c r="AG45" s="18">
        <f>AE45 + AF45 + T45</f>
        <v/>
      </c>
    </row>
    <row r="46">
      <c r="A46" s="14" t="inlineStr">
        <is>
          <t>Ngày 44 (13/06)</t>
        </is>
      </c>
      <c r="B46" s="15" t="n">
        <v>33.9</v>
      </c>
      <c r="C46" s="15" t="n">
        <v>0.3</v>
      </c>
      <c r="D46" s="16" t="n">
        <v>0.899</v>
      </c>
      <c r="E46" s="17" t="n">
        <v>533.5</v>
      </c>
      <c r="F46" s="18" t="n">
        <v>0</v>
      </c>
      <c r="G46" s="19" t="n">
        <v>554.2</v>
      </c>
      <c r="H46" s="19">
        <f>G46*IF(F46=1, 0.85, 0.8)</f>
        <v/>
      </c>
      <c r="I46" s="14" t="inlineStr">
        <is>
          <t>2-4</t>
        </is>
      </c>
      <c r="J46" s="18">
        <f>INT(H46/(18*0.96))</f>
        <v/>
      </c>
      <c r="K46" s="19">
        <f>MAX(15, ROUND(TREND(G$3:G$94, E$3:E$94, E46), 1))</f>
        <v/>
      </c>
      <c r="L46" s="19">
        <f>MAX(15, ROUND(TREND(G$3:G$94, B$3:E$94, B46:E46), 1))</f>
        <v/>
      </c>
      <c r="M46" s="19">
        <f>MAX(15, ROUND(TREND(G$3:G$94, B$3:F$94, B46:F46), 1))</f>
        <v/>
      </c>
      <c r="N46" s="19">
        <f>M46*IF(F46=1, 0.85, 0.8)</f>
        <v/>
      </c>
      <c r="O46" s="18">
        <f>MAX(0, INT(N46/(18*0.96)))</f>
        <v/>
      </c>
      <c r="P46" s="18">
        <f>MAX(0, ROUND(O46*70%, 0))</f>
        <v/>
      </c>
      <c r="Q46" s="18">
        <f>MAX(0, MIN(ROUNDUP(O46*0.2, 0), MAX(0, O46 - P46)))</f>
        <v/>
      </c>
      <c r="R46" s="14">
        <f>IF(C46&gt;20, "Hủy slot (Mưa &gt; 20mm)", "Kích hoạt")</f>
        <v/>
      </c>
      <c r="S46" s="18">
        <f>IF(C46&gt;20, 0, Q46)</f>
        <v/>
      </c>
      <c r="T46" s="18">
        <f>IF(C46&gt;20, Q46*0.2*W46, 0)</f>
        <v/>
      </c>
      <c r="U46" s="18">
        <f>MAX(0, J46 - P46 - S46)</f>
        <v/>
      </c>
      <c r="V46" s="18">
        <f>P46 + S46 + U46</f>
        <v/>
      </c>
      <c r="W46" s="18">
        <f>IF(OR(B46&gt;=34, F46=1), 11700000, 9000000)</f>
        <v/>
      </c>
      <c r="X46" s="17" t="n">
        <v>0.02</v>
      </c>
      <c r="Y46" s="18">
        <f>AVERAGE(J43:J45)</f>
        <v/>
      </c>
      <c r="Z46" s="18">
        <f>ABS(J46 - Y46)</f>
        <v/>
      </c>
      <c r="AA46" s="18">
        <f>IF(Y46="", 0, IF(Y46&gt;J46, (Y46-J46)*2700000, 0))</f>
        <v/>
      </c>
      <c r="AB46" s="18">
        <f>IF(Y46="", 0, IF(J46&gt;Y46, (J46-Y46)*6000000, 0))</f>
        <v/>
      </c>
      <c r="AC46" s="18">
        <f>AA46 + AB46</f>
        <v/>
      </c>
      <c r="AD46" s="18">
        <f>ABS(V46 - J46)</f>
        <v/>
      </c>
      <c r="AE46" s="18">
        <f>IF(V46&gt;J46, (V46-J46)*2700000, 0)</f>
        <v/>
      </c>
      <c r="AF46" s="18">
        <f>IF(J46&gt;V46, (J46-V46)*6000000, 0)</f>
        <v/>
      </c>
      <c r="AG46" s="18">
        <f>AE46 + AF46 + T46</f>
        <v/>
      </c>
    </row>
    <row r="47">
      <c r="A47" s="14" t="inlineStr">
        <is>
          <t>Ngày 45 (14/06)</t>
        </is>
      </c>
      <c r="B47" s="15" t="n">
        <v>34.2</v>
      </c>
      <c r="C47" s="15" t="n">
        <v>0.9</v>
      </c>
      <c r="D47" s="16" t="n">
        <v>0.905</v>
      </c>
      <c r="E47" s="17" t="n">
        <v>577.5</v>
      </c>
      <c r="F47" s="18" t="n">
        <v>0</v>
      </c>
      <c r="G47" s="19" t="n">
        <v>560.7</v>
      </c>
      <c r="H47" s="19">
        <f>G47*IF(F47=1, 0.85, 0.8)</f>
        <v/>
      </c>
      <c r="I47" s="14" t="inlineStr">
        <is>
          <t>2-4</t>
        </is>
      </c>
      <c r="J47" s="18">
        <f>INT(H47/(18*0.96))</f>
        <v/>
      </c>
      <c r="K47" s="19">
        <f>MAX(15, ROUND(TREND(G$3:G$94, E$3:E$94, E47), 1))</f>
        <v/>
      </c>
      <c r="L47" s="19">
        <f>MAX(15, ROUND(TREND(G$3:G$94, B$3:E$94, B47:E47), 1))</f>
        <v/>
      </c>
      <c r="M47" s="19">
        <f>MAX(15, ROUND(TREND(G$3:G$94, B$3:F$94, B47:F47), 1))</f>
        <v/>
      </c>
      <c r="N47" s="19">
        <f>M47*IF(F47=1, 0.85, 0.8)</f>
        <v/>
      </c>
      <c r="O47" s="18">
        <f>MAX(0, INT(N47/(18*0.96)))</f>
        <v/>
      </c>
      <c r="P47" s="18">
        <f>MAX(0, ROUND(O47*70%, 0))</f>
        <v/>
      </c>
      <c r="Q47" s="18">
        <f>MAX(0, MIN(ROUNDUP(O47*0.2, 0), MAX(0, O47 - P47)))</f>
        <v/>
      </c>
      <c r="R47" s="14">
        <f>IF(C47&gt;20, "Hủy slot (Mưa &gt; 20mm)", "Kích hoạt")</f>
        <v/>
      </c>
      <c r="S47" s="18">
        <f>IF(C47&gt;20, 0, Q47)</f>
        <v/>
      </c>
      <c r="T47" s="18">
        <f>IF(C47&gt;20, Q47*0.2*W47, 0)</f>
        <v/>
      </c>
      <c r="U47" s="18">
        <f>MAX(0, J47 - P47 - S47)</f>
        <v/>
      </c>
      <c r="V47" s="18">
        <f>P47 + S47 + U47</f>
        <v/>
      </c>
      <c r="W47" s="18">
        <f>IF(OR(B47&gt;=34, F47=1), 11700000, 9000000)</f>
        <v/>
      </c>
      <c r="X47" s="17" t="n">
        <v>0.02</v>
      </c>
      <c r="Y47" s="18">
        <f>AVERAGE(J44:J46)</f>
        <v/>
      </c>
      <c r="Z47" s="18">
        <f>ABS(J47 - Y47)</f>
        <v/>
      </c>
      <c r="AA47" s="18">
        <f>IF(Y47="", 0, IF(Y47&gt;J47, (Y47-J47)*2700000, 0))</f>
        <v/>
      </c>
      <c r="AB47" s="18">
        <f>IF(Y47="", 0, IF(J47&gt;Y47, (J47-Y47)*6000000, 0))</f>
        <v/>
      </c>
      <c r="AC47" s="18">
        <f>AA47 + AB47</f>
        <v/>
      </c>
      <c r="AD47" s="18">
        <f>ABS(V47 - J47)</f>
        <v/>
      </c>
      <c r="AE47" s="18">
        <f>IF(V47&gt;J47, (V47-J47)*2700000, 0)</f>
        <v/>
      </c>
      <c r="AF47" s="18">
        <f>IF(J47&gt;V47, (J47-V47)*6000000, 0)</f>
        <v/>
      </c>
      <c r="AG47" s="18">
        <f>AE47 + AF47 + T47</f>
        <v/>
      </c>
    </row>
    <row r="48">
      <c r="A48" s="14" t="inlineStr">
        <is>
          <t>Ngày 46 (15/06)</t>
        </is>
      </c>
      <c r="B48" s="15" t="n">
        <v>33.3</v>
      </c>
      <c r="C48" s="15" t="n">
        <v>17.9</v>
      </c>
      <c r="D48" s="16" t="n">
        <v>0.93</v>
      </c>
      <c r="E48" s="17" t="n">
        <v>554.1</v>
      </c>
      <c r="F48" s="18" t="n">
        <v>0</v>
      </c>
      <c r="G48" s="19" t="n">
        <v>477</v>
      </c>
      <c r="H48" s="19">
        <f>G48*IF(F48=1, 0.85, 0.8)</f>
        <v/>
      </c>
      <c r="I48" s="14" t="inlineStr">
        <is>
          <t>2-4</t>
        </is>
      </c>
      <c r="J48" s="18">
        <f>INT(H48/(18*0.96))</f>
        <v/>
      </c>
      <c r="K48" s="19">
        <f>MAX(15, ROUND(TREND(G$3:G$94, E$3:E$94, E48), 1))</f>
        <v/>
      </c>
      <c r="L48" s="19">
        <f>MAX(15, ROUND(TREND(G$3:G$94, B$3:E$94, B48:E48), 1))</f>
        <v/>
      </c>
      <c r="M48" s="19">
        <f>MAX(15, ROUND(TREND(G$3:G$94, B$3:F$94, B48:F48), 1))</f>
        <v/>
      </c>
      <c r="N48" s="19">
        <f>M48*IF(F48=1, 0.85, 0.8)</f>
        <v/>
      </c>
      <c r="O48" s="18">
        <f>MAX(0, INT(N48/(18*0.96)))</f>
        <v/>
      </c>
      <c r="P48" s="18">
        <f>MAX(0, ROUND(O48*70%, 0))</f>
        <v/>
      </c>
      <c r="Q48" s="18">
        <f>MAX(0, MIN(ROUNDUP(O48*0.2, 0), MAX(0, O48 - P48)))</f>
        <v/>
      </c>
      <c r="R48" s="14">
        <f>IF(C48&gt;20, "Hủy slot (Mưa &gt; 20mm)", "Kích hoạt")</f>
        <v/>
      </c>
      <c r="S48" s="18">
        <f>IF(C48&gt;20, 0, Q48)</f>
        <v/>
      </c>
      <c r="T48" s="18">
        <f>IF(C48&gt;20, Q48*0.2*W48, 0)</f>
        <v/>
      </c>
      <c r="U48" s="18">
        <f>MAX(0, J48 - P48 - S48)</f>
        <v/>
      </c>
      <c r="V48" s="18">
        <f>P48 + S48 + U48</f>
        <v/>
      </c>
      <c r="W48" s="18">
        <f>IF(OR(B48&gt;=34, F48=1), 11700000, 9000000)</f>
        <v/>
      </c>
      <c r="X48" s="17" t="n">
        <v>0.02</v>
      </c>
      <c r="Y48" s="18">
        <f>AVERAGE(J45:J47)</f>
        <v/>
      </c>
      <c r="Z48" s="18">
        <f>ABS(J48 - Y48)</f>
        <v/>
      </c>
      <c r="AA48" s="18">
        <f>IF(Y48="", 0, IF(Y48&gt;J48, (Y48-J48)*2700000, 0))</f>
        <v/>
      </c>
      <c r="AB48" s="18">
        <f>IF(Y48="", 0, IF(J48&gt;Y48, (J48-Y48)*6000000, 0))</f>
        <v/>
      </c>
      <c r="AC48" s="18">
        <f>AA48 + AB48</f>
        <v/>
      </c>
      <c r="AD48" s="18">
        <f>ABS(V48 - J48)</f>
        <v/>
      </c>
      <c r="AE48" s="18">
        <f>IF(V48&gt;J48, (V48-J48)*2700000, 0)</f>
        <v/>
      </c>
      <c r="AF48" s="18">
        <f>IF(J48&gt;V48, (J48-V48)*6000000, 0)</f>
        <v/>
      </c>
      <c r="AG48" s="18">
        <f>AE48 + AF48 + T48</f>
        <v/>
      </c>
    </row>
    <row r="49">
      <c r="A49" s="14" t="inlineStr">
        <is>
          <t>Ngày 47 (16/06)</t>
        </is>
      </c>
      <c r="B49" s="15" t="n">
        <v>31.1</v>
      </c>
      <c r="C49" s="15" t="n">
        <v>15.3</v>
      </c>
      <c r="D49" s="16" t="n">
        <v>0.926</v>
      </c>
      <c r="E49" s="17" t="n">
        <v>545.2</v>
      </c>
      <c r="F49" s="18" t="n">
        <v>0</v>
      </c>
      <c r="G49" s="19" t="n">
        <v>470.5</v>
      </c>
      <c r="H49" s="19">
        <f>G49*IF(F49=1, 0.85, 0.8)</f>
        <v/>
      </c>
      <c r="I49" s="14" t="inlineStr">
        <is>
          <t>2-4</t>
        </is>
      </c>
      <c r="J49" s="18">
        <f>INT(H49/(18*0.96))</f>
        <v/>
      </c>
      <c r="K49" s="19">
        <f>MAX(15, ROUND(TREND(G$3:G$94, E$3:E$94, E49), 1))</f>
        <v/>
      </c>
      <c r="L49" s="19">
        <f>MAX(15, ROUND(TREND(G$3:G$94, B$3:E$94, B49:E49), 1))</f>
        <v/>
      </c>
      <c r="M49" s="19">
        <f>MAX(15, ROUND(TREND(G$3:G$94, B$3:F$94, B49:F49), 1))</f>
        <v/>
      </c>
      <c r="N49" s="19">
        <f>M49*IF(F49=1, 0.85, 0.8)</f>
        <v/>
      </c>
      <c r="O49" s="18">
        <f>MAX(0, INT(N49/(18*0.96)))</f>
        <v/>
      </c>
      <c r="P49" s="18">
        <f>MAX(0, ROUND(O49*70%, 0))</f>
        <v/>
      </c>
      <c r="Q49" s="18">
        <f>MAX(0, MIN(ROUNDUP(O49*0.2, 0), MAX(0, O49 - P49)))</f>
        <v/>
      </c>
      <c r="R49" s="14">
        <f>IF(C49&gt;20, "Hủy slot (Mưa &gt; 20mm)", "Kích hoạt")</f>
        <v/>
      </c>
      <c r="S49" s="18">
        <f>IF(C49&gt;20, 0, Q49)</f>
        <v/>
      </c>
      <c r="T49" s="18">
        <f>IF(C49&gt;20, Q49*0.2*W49, 0)</f>
        <v/>
      </c>
      <c r="U49" s="18">
        <f>MAX(0, J49 - P49 - S49)</f>
        <v/>
      </c>
      <c r="V49" s="18">
        <f>P49 + S49 + U49</f>
        <v/>
      </c>
      <c r="W49" s="18">
        <f>IF(OR(B49&gt;=34, F49=1), 11700000, 9000000)</f>
        <v/>
      </c>
      <c r="X49" s="17" t="n">
        <v>0.02</v>
      </c>
      <c r="Y49" s="18">
        <f>AVERAGE(J46:J48)</f>
        <v/>
      </c>
      <c r="Z49" s="18">
        <f>ABS(J49 - Y49)</f>
        <v/>
      </c>
      <c r="AA49" s="18">
        <f>IF(Y49="", 0, IF(Y49&gt;J49, (Y49-J49)*2700000, 0))</f>
        <v/>
      </c>
      <c r="AB49" s="18">
        <f>IF(Y49="", 0, IF(J49&gt;Y49, (J49-Y49)*6000000, 0))</f>
        <v/>
      </c>
      <c r="AC49" s="18">
        <f>AA49 + AB49</f>
        <v/>
      </c>
      <c r="AD49" s="18">
        <f>ABS(V49 - J49)</f>
        <v/>
      </c>
      <c r="AE49" s="18">
        <f>IF(V49&gt;J49, (V49-J49)*2700000, 0)</f>
        <v/>
      </c>
      <c r="AF49" s="18">
        <f>IF(J49&gt;V49, (J49-V49)*6000000, 0)</f>
        <v/>
      </c>
      <c r="AG49" s="18">
        <f>AE49 + AF49 + T49</f>
        <v/>
      </c>
    </row>
    <row r="50">
      <c r="A50" s="14" t="inlineStr">
        <is>
          <t>Ngày 48 (17/06)</t>
        </is>
      </c>
      <c r="B50" s="15" t="n">
        <v>32.5</v>
      </c>
      <c r="C50" s="15" t="n">
        <v>28.9</v>
      </c>
      <c r="D50" s="16" t="n">
        <v>0.924</v>
      </c>
      <c r="E50" s="17" t="n">
        <v>535.9</v>
      </c>
      <c r="F50" s="18" t="n">
        <v>0</v>
      </c>
      <c r="G50" s="19" t="n">
        <v>327.4</v>
      </c>
      <c r="H50" s="19">
        <f>G50*IF(F50=1, 0.85, 0.8)</f>
        <v/>
      </c>
      <c r="I50" s="14" t="inlineStr">
        <is>
          <t>2-4</t>
        </is>
      </c>
      <c r="J50" s="18">
        <f>INT(H50/(18*0.96))</f>
        <v/>
      </c>
      <c r="K50" s="19">
        <f>MAX(15, ROUND(TREND(G$3:G$94, E$3:E$94, E50), 1))</f>
        <v/>
      </c>
      <c r="L50" s="19">
        <f>MAX(15, ROUND(TREND(G$3:G$94, B$3:E$94, B50:E50), 1))</f>
        <v/>
      </c>
      <c r="M50" s="19">
        <f>MAX(15, ROUND(TREND(G$3:G$94, B$3:F$94, B50:F50), 1))</f>
        <v/>
      </c>
      <c r="N50" s="19">
        <f>M50*IF(F50=1, 0.85, 0.8)</f>
        <v/>
      </c>
      <c r="O50" s="18">
        <f>MAX(0, INT(N50/(18*0.96)))</f>
        <v/>
      </c>
      <c r="P50" s="18">
        <f>MAX(0, ROUND(O50*70%, 0))</f>
        <v/>
      </c>
      <c r="Q50" s="18">
        <f>MAX(0, MIN(ROUNDUP(O50*0.2, 0), MAX(0, O50 - P50)))</f>
        <v/>
      </c>
      <c r="R50" s="14">
        <f>IF(C50&gt;20, "Hủy slot (Mưa &gt; 20mm)", "Kích hoạt")</f>
        <v/>
      </c>
      <c r="S50" s="18">
        <f>IF(C50&gt;20, 0, Q50)</f>
        <v/>
      </c>
      <c r="T50" s="18">
        <f>IF(C50&gt;20, Q50*0.2*W50, 0)</f>
        <v/>
      </c>
      <c r="U50" s="18">
        <f>MAX(0, J50 - P50 - S50)</f>
        <v/>
      </c>
      <c r="V50" s="18">
        <f>P50 + S50 + U50</f>
        <v/>
      </c>
      <c r="W50" s="18">
        <f>IF(OR(B50&gt;=34, F50=1), 11700000, 9000000)</f>
        <v/>
      </c>
      <c r="X50" s="17" t="n">
        <v>0.02</v>
      </c>
      <c r="Y50" s="18">
        <f>AVERAGE(J47:J49)</f>
        <v/>
      </c>
      <c r="Z50" s="18">
        <f>ABS(J50 - Y50)</f>
        <v/>
      </c>
      <c r="AA50" s="18">
        <f>IF(Y50="", 0, IF(Y50&gt;J50, (Y50-J50)*2700000, 0))</f>
        <v/>
      </c>
      <c r="AB50" s="18">
        <f>IF(Y50="", 0, IF(J50&gt;Y50, (J50-Y50)*6000000, 0))</f>
        <v/>
      </c>
      <c r="AC50" s="18">
        <f>AA50 + AB50</f>
        <v/>
      </c>
      <c r="AD50" s="18">
        <f>ABS(V50 - J50)</f>
        <v/>
      </c>
      <c r="AE50" s="18">
        <f>IF(V50&gt;J50, (V50-J50)*2700000, 0)</f>
        <v/>
      </c>
      <c r="AF50" s="18">
        <f>IF(J50&gt;V50, (J50-V50)*6000000, 0)</f>
        <v/>
      </c>
      <c r="AG50" s="18">
        <f>AE50 + AF50 + T50</f>
        <v/>
      </c>
    </row>
    <row r="51">
      <c r="A51" s="14" t="inlineStr">
        <is>
          <t>Ngày 49 (18/06)</t>
        </is>
      </c>
      <c r="B51" s="15" t="n">
        <v>32.9</v>
      </c>
      <c r="C51" s="15" t="n">
        <v>10.2</v>
      </c>
      <c r="D51" s="16" t="n">
        <v>0.905</v>
      </c>
      <c r="E51" s="17" t="n">
        <v>605.7</v>
      </c>
      <c r="F51" s="18" t="n">
        <v>1</v>
      </c>
      <c r="G51" s="19" t="n">
        <v>543.5</v>
      </c>
      <c r="H51" s="19">
        <f>G51*IF(F51=1, 0.85, 0.8)</f>
        <v/>
      </c>
      <c r="I51" s="14" t="inlineStr">
        <is>
          <t>2-4</t>
        </is>
      </c>
      <c r="J51" s="18">
        <f>INT(H51/(18*0.96))</f>
        <v/>
      </c>
      <c r="K51" s="19">
        <f>MAX(15, ROUND(TREND(G$3:G$94, E$3:E$94, E51), 1))</f>
        <v/>
      </c>
      <c r="L51" s="19">
        <f>MAX(15, ROUND(TREND(G$3:G$94, B$3:E$94, B51:E51), 1))</f>
        <v/>
      </c>
      <c r="M51" s="19">
        <f>MAX(15, ROUND(TREND(G$3:G$94, B$3:F$94, B51:F51), 1))</f>
        <v/>
      </c>
      <c r="N51" s="19">
        <f>M51*IF(F51=1, 0.85, 0.8)</f>
        <v/>
      </c>
      <c r="O51" s="18">
        <f>MAX(0, INT(N51/(18*0.96)))</f>
        <v/>
      </c>
      <c r="P51" s="18">
        <f>MAX(0, ROUND(O51*70%, 0))</f>
        <v/>
      </c>
      <c r="Q51" s="18">
        <f>MAX(0, MIN(ROUNDUP(O51*0.2, 0), MAX(0, O51 - P51)))</f>
        <v/>
      </c>
      <c r="R51" s="14">
        <f>IF(C51&gt;20, "Hủy slot (Mưa &gt; 20mm)", "Kích hoạt")</f>
        <v/>
      </c>
      <c r="S51" s="18">
        <f>IF(C51&gt;20, 0, Q51)</f>
        <v/>
      </c>
      <c r="T51" s="18">
        <f>IF(C51&gt;20, Q51*0.2*W51, 0)</f>
        <v/>
      </c>
      <c r="U51" s="18">
        <f>MAX(0, J51 - P51 - S51)</f>
        <v/>
      </c>
      <c r="V51" s="18">
        <f>P51 + S51 + U51</f>
        <v/>
      </c>
      <c r="W51" s="18">
        <f>IF(OR(B51&gt;=34, F51=1), 11700000, 9000000)</f>
        <v/>
      </c>
      <c r="X51" s="17" t="n">
        <v>0.02</v>
      </c>
      <c r="Y51" s="18">
        <f>AVERAGE(J48:J50)</f>
        <v/>
      </c>
      <c r="Z51" s="18">
        <f>ABS(J51 - Y51)</f>
        <v/>
      </c>
      <c r="AA51" s="18">
        <f>IF(Y51="", 0, IF(Y51&gt;J51, (Y51-J51)*2700000, 0))</f>
        <v/>
      </c>
      <c r="AB51" s="18">
        <f>IF(Y51="", 0, IF(J51&gt;Y51, (J51-Y51)*6000000, 0))</f>
        <v/>
      </c>
      <c r="AC51" s="18">
        <f>AA51 + AB51</f>
        <v/>
      </c>
      <c r="AD51" s="18">
        <f>ABS(V51 - J51)</f>
        <v/>
      </c>
      <c r="AE51" s="18">
        <f>IF(V51&gt;J51, (V51-J51)*2700000, 0)</f>
        <v/>
      </c>
      <c r="AF51" s="18">
        <f>IF(J51&gt;V51, (J51-V51)*6000000, 0)</f>
        <v/>
      </c>
      <c r="AG51" s="18">
        <f>AE51 + AF51 + T51</f>
        <v/>
      </c>
    </row>
    <row r="52">
      <c r="A52" s="14" t="inlineStr">
        <is>
          <t>Ngày 50 (19/06)</t>
        </is>
      </c>
      <c r="B52" s="15" t="n">
        <v>32.3</v>
      </c>
      <c r="C52" s="15" t="n">
        <v>0.2</v>
      </c>
      <c r="D52" s="16" t="n">
        <v>0.898</v>
      </c>
      <c r="E52" s="17" t="n">
        <v>612</v>
      </c>
      <c r="F52" s="18" t="n">
        <v>1</v>
      </c>
      <c r="G52" s="19" t="n">
        <v>627.6</v>
      </c>
      <c r="H52" s="19">
        <f>G52*IF(F52=1, 0.85, 0.8)</f>
        <v/>
      </c>
      <c r="I52" s="14" t="inlineStr">
        <is>
          <t>2-4</t>
        </is>
      </c>
      <c r="J52" s="18">
        <f>INT(H52/(18*0.96))</f>
        <v/>
      </c>
      <c r="K52" s="19">
        <f>MAX(15, ROUND(TREND(G$3:G$94, E$3:E$94, E52), 1))</f>
        <v/>
      </c>
      <c r="L52" s="19">
        <f>MAX(15, ROUND(TREND(G$3:G$94, B$3:E$94, B52:E52), 1))</f>
        <v/>
      </c>
      <c r="M52" s="19">
        <f>MAX(15, ROUND(TREND(G$3:G$94, B$3:F$94, B52:F52), 1))</f>
        <v/>
      </c>
      <c r="N52" s="19">
        <f>M52*IF(F52=1, 0.85, 0.8)</f>
        <v/>
      </c>
      <c r="O52" s="18">
        <f>MAX(0, INT(N52/(18*0.96)))</f>
        <v/>
      </c>
      <c r="P52" s="18">
        <f>MAX(0, ROUND(O52*70%, 0))</f>
        <v/>
      </c>
      <c r="Q52" s="18">
        <f>MAX(0, MIN(ROUNDUP(O52*0.2, 0), MAX(0, O52 - P52)))</f>
        <v/>
      </c>
      <c r="R52" s="14">
        <f>IF(C52&gt;20, "Hủy slot (Mưa &gt; 20mm)", "Kích hoạt")</f>
        <v/>
      </c>
      <c r="S52" s="18">
        <f>IF(C52&gt;20, 0, Q52)</f>
        <v/>
      </c>
      <c r="T52" s="18">
        <f>IF(C52&gt;20, Q52*0.2*W52, 0)</f>
        <v/>
      </c>
      <c r="U52" s="18">
        <f>MAX(0, J52 - P52 - S52)</f>
        <v/>
      </c>
      <c r="V52" s="18">
        <f>P52 + S52 + U52</f>
        <v/>
      </c>
      <c r="W52" s="18">
        <f>IF(OR(B52&gt;=34, F52=1), 11700000, 9000000)</f>
        <v/>
      </c>
      <c r="X52" s="17" t="n">
        <v>0.02</v>
      </c>
      <c r="Y52" s="18">
        <f>AVERAGE(J49:J51)</f>
        <v/>
      </c>
      <c r="Z52" s="18">
        <f>ABS(J52 - Y52)</f>
        <v/>
      </c>
      <c r="AA52" s="18">
        <f>IF(Y52="", 0, IF(Y52&gt;J52, (Y52-J52)*2700000, 0))</f>
        <v/>
      </c>
      <c r="AB52" s="18">
        <f>IF(Y52="", 0, IF(J52&gt;Y52, (J52-Y52)*6000000, 0))</f>
        <v/>
      </c>
      <c r="AC52" s="18">
        <f>AA52 + AB52</f>
        <v/>
      </c>
      <c r="AD52" s="18">
        <f>ABS(V52 - J52)</f>
        <v/>
      </c>
      <c r="AE52" s="18">
        <f>IF(V52&gt;J52, (V52-J52)*2700000, 0)</f>
        <v/>
      </c>
      <c r="AF52" s="18">
        <f>IF(J52&gt;V52, (J52-V52)*6000000, 0)</f>
        <v/>
      </c>
      <c r="AG52" s="18">
        <f>AE52 + AF52 + T52</f>
        <v/>
      </c>
    </row>
    <row r="53">
      <c r="A53" s="14" t="inlineStr">
        <is>
          <t>Ngày 51 (20/06)</t>
        </is>
      </c>
      <c r="B53" s="15" t="n">
        <v>33.8</v>
      </c>
      <c r="C53" s="15" t="n">
        <v>0.4</v>
      </c>
      <c r="D53" s="16" t="n">
        <v>0.876</v>
      </c>
      <c r="E53" s="17" t="n">
        <v>557.1</v>
      </c>
      <c r="F53" s="18" t="n">
        <v>0</v>
      </c>
      <c r="G53" s="19" t="n">
        <v>573.4</v>
      </c>
      <c r="H53" s="19">
        <f>G53*IF(F53=1, 0.85, 0.8)</f>
        <v/>
      </c>
      <c r="I53" s="14" t="inlineStr">
        <is>
          <t>2-4</t>
        </is>
      </c>
      <c r="J53" s="18">
        <f>INT(H53/(18*0.96))</f>
        <v/>
      </c>
      <c r="K53" s="19">
        <f>MAX(15, ROUND(TREND(G$3:G$94, E$3:E$94, E53), 1))</f>
        <v/>
      </c>
      <c r="L53" s="19">
        <f>MAX(15, ROUND(TREND(G$3:G$94, B$3:E$94, B53:E53), 1))</f>
        <v/>
      </c>
      <c r="M53" s="19">
        <f>MAX(15, ROUND(TREND(G$3:G$94, B$3:F$94, B53:F53), 1))</f>
        <v/>
      </c>
      <c r="N53" s="19">
        <f>M53*IF(F53=1, 0.85, 0.8)</f>
        <v/>
      </c>
      <c r="O53" s="18">
        <f>MAX(0, INT(N53/(18*0.96)))</f>
        <v/>
      </c>
      <c r="P53" s="18">
        <f>MAX(0, ROUND(O53*70%, 0))</f>
        <v/>
      </c>
      <c r="Q53" s="18">
        <f>MAX(0, MIN(ROUNDUP(O53*0.2, 0), MAX(0, O53 - P53)))</f>
        <v/>
      </c>
      <c r="R53" s="14">
        <f>IF(C53&gt;20, "Hủy slot (Mưa &gt; 20mm)", "Kích hoạt")</f>
        <v/>
      </c>
      <c r="S53" s="18">
        <f>IF(C53&gt;20, 0, Q53)</f>
        <v/>
      </c>
      <c r="T53" s="18">
        <f>IF(C53&gt;20, Q53*0.2*W53, 0)</f>
        <v/>
      </c>
      <c r="U53" s="18">
        <f>MAX(0, J53 - P53 - S53)</f>
        <v/>
      </c>
      <c r="V53" s="18">
        <f>P53 + S53 + U53</f>
        <v/>
      </c>
      <c r="W53" s="18">
        <f>IF(OR(B53&gt;=34, F53=1), 11700000, 9000000)</f>
        <v/>
      </c>
      <c r="X53" s="17" t="n">
        <v>0.02</v>
      </c>
      <c r="Y53" s="18">
        <f>AVERAGE(J50:J52)</f>
        <v/>
      </c>
      <c r="Z53" s="18">
        <f>ABS(J53 - Y53)</f>
        <v/>
      </c>
      <c r="AA53" s="18">
        <f>IF(Y53="", 0, IF(Y53&gt;J53, (Y53-J53)*2700000, 0))</f>
        <v/>
      </c>
      <c r="AB53" s="18">
        <f>IF(Y53="", 0, IF(J53&gt;Y53, (J53-Y53)*6000000, 0))</f>
        <v/>
      </c>
      <c r="AC53" s="18">
        <f>AA53 + AB53</f>
        <v/>
      </c>
      <c r="AD53" s="18">
        <f>ABS(V53 - J53)</f>
        <v/>
      </c>
      <c r="AE53" s="18">
        <f>IF(V53&gt;J53, (V53-J53)*2700000, 0)</f>
        <v/>
      </c>
      <c r="AF53" s="18">
        <f>IF(J53&gt;V53, (J53-V53)*6000000, 0)</f>
        <v/>
      </c>
      <c r="AG53" s="18">
        <f>AE53 + AF53 + T53</f>
        <v/>
      </c>
    </row>
    <row r="54">
      <c r="A54" s="14" t="inlineStr">
        <is>
          <t>Ngày 52 (21/06)</t>
        </is>
      </c>
      <c r="B54" s="15" t="n">
        <v>33.5</v>
      </c>
      <c r="C54" s="15" t="n">
        <v>5.5</v>
      </c>
      <c r="D54" s="16" t="n">
        <v>0.842</v>
      </c>
      <c r="E54" s="17" t="n">
        <v>519.8</v>
      </c>
      <c r="F54" s="18" t="n">
        <v>0</v>
      </c>
      <c r="G54" s="19" t="n">
        <v>549.4</v>
      </c>
      <c r="H54" s="19">
        <f>G54*IF(F54=1, 0.85, 0.8)</f>
        <v/>
      </c>
      <c r="I54" s="14" t="inlineStr">
        <is>
          <t>2-4</t>
        </is>
      </c>
      <c r="J54" s="18">
        <f>INT(H54/(18*0.96))</f>
        <v/>
      </c>
      <c r="K54" s="19">
        <f>MAX(15, ROUND(TREND(G$3:G$94, E$3:E$94, E54), 1))</f>
        <v/>
      </c>
      <c r="L54" s="19">
        <f>MAX(15, ROUND(TREND(G$3:G$94, B$3:E$94, B54:E54), 1))</f>
        <v/>
      </c>
      <c r="M54" s="19">
        <f>MAX(15, ROUND(TREND(G$3:G$94, B$3:F$94, B54:F54), 1))</f>
        <v/>
      </c>
      <c r="N54" s="19">
        <f>M54*IF(F54=1, 0.85, 0.8)</f>
        <v/>
      </c>
      <c r="O54" s="18">
        <f>MAX(0, INT(N54/(18*0.96)))</f>
        <v/>
      </c>
      <c r="P54" s="18">
        <f>MAX(0, ROUND(O54*70%, 0))</f>
        <v/>
      </c>
      <c r="Q54" s="18">
        <f>MAX(0, MIN(ROUNDUP(O54*0.2, 0), MAX(0, O54 - P54)))</f>
        <v/>
      </c>
      <c r="R54" s="14">
        <f>IF(C54&gt;20, "Hủy slot (Mưa &gt; 20mm)", "Kích hoạt")</f>
        <v/>
      </c>
      <c r="S54" s="18">
        <f>IF(C54&gt;20, 0, Q54)</f>
        <v/>
      </c>
      <c r="T54" s="18">
        <f>IF(C54&gt;20, Q54*0.2*W54, 0)</f>
        <v/>
      </c>
      <c r="U54" s="18">
        <f>MAX(0, J54 - P54 - S54)</f>
        <v/>
      </c>
      <c r="V54" s="18">
        <f>P54 + S54 + U54</f>
        <v/>
      </c>
      <c r="W54" s="18">
        <f>IF(OR(B54&gt;=34, F54=1), 11700000, 9000000)</f>
        <v/>
      </c>
      <c r="X54" s="17" t="n">
        <v>0.02</v>
      </c>
      <c r="Y54" s="18">
        <f>AVERAGE(J51:J53)</f>
        <v/>
      </c>
      <c r="Z54" s="18">
        <f>ABS(J54 - Y54)</f>
        <v/>
      </c>
      <c r="AA54" s="18">
        <f>IF(Y54="", 0, IF(Y54&gt;J54, (Y54-J54)*2700000, 0))</f>
        <v/>
      </c>
      <c r="AB54" s="18">
        <f>IF(Y54="", 0, IF(J54&gt;Y54, (J54-Y54)*6000000, 0))</f>
        <v/>
      </c>
      <c r="AC54" s="18">
        <f>AA54 + AB54</f>
        <v/>
      </c>
      <c r="AD54" s="18">
        <f>ABS(V54 - J54)</f>
        <v/>
      </c>
      <c r="AE54" s="18">
        <f>IF(V54&gt;J54, (V54-J54)*2700000, 0)</f>
        <v/>
      </c>
      <c r="AF54" s="18">
        <f>IF(J54&gt;V54, (J54-V54)*6000000, 0)</f>
        <v/>
      </c>
      <c r="AG54" s="18">
        <f>AE54 + AF54 + T54</f>
        <v/>
      </c>
    </row>
    <row r="55">
      <c r="A55" s="14" t="inlineStr">
        <is>
          <t>Ngày 53 (22/06)</t>
        </is>
      </c>
      <c r="B55" s="15" t="n">
        <v>33.8</v>
      </c>
      <c r="C55" s="15" t="n">
        <v>0</v>
      </c>
      <c r="D55" s="16" t="n">
        <v>0.821</v>
      </c>
      <c r="E55" s="17" t="n">
        <v>549</v>
      </c>
      <c r="F55" s="18" t="n">
        <v>0</v>
      </c>
      <c r="G55" s="19" t="n">
        <v>523.9</v>
      </c>
      <c r="H55" s="19">
        <f>G55*IF(F55=1, 0.85, 0.8)</f>
        <v/>
      </c>
      <c r="I55" s="14" t="inlineStr">
        <is>
          <t>2-4</t>
        </is>
      </c>
      <c r="J55" s="18">
        <f>INT(H55/(18*0.96))</f>
        <v/>
      </c>
      <c r="K55" s="19">
        <f>MAX(15, ROUND(TREND(G$3:G$94, E$3:E$94, E55), 1))</f>
        <v/>
      </c>
      <c r="L55" s="19">
        <f>MAX(15, ROUND(TREND(G$3:G$94, B$3:E$94, B55:E55), 1))</f>
        <v/>
      </c>
      <c r="M55" s="19">
        <f>MAX(15, ROUND(TREND(G$3:G$94, B$3:F$94, B55:F55), 1))</f>
        <v/>
      </c>
      <c r="N55" s="19">
        <f>M55*IF(F55=1, 0.85, 0.8)</f>
        <v/>
      </c>
      <c r="O55" s="18">
        <f>MAX(0, INT(N55/(18*0.96)))</f>
        <v/>
      </c>
      <c r="P55" s="18">
        <f>MAX(0, ROUND(O55*70%, 0))</f>
        <v/>
      </c>
      <c r="Q55" s="18">
        <f>MAX(0, MIN(ROUNDUP(O55*0.2, 0), MAX(0, O55 - P55)))</f>
        <v/>
      </c>
      <c r="R55" s="14">
        <f>IF(C55&gt;20, "Hủy slot (Mưa &gt; 20mm)", "Kích hoạt")</f>
        <v/>
      </c>
      <c r="S55" s="18">
        <f>IF(C55&gt;20, 0, Q55)</f>
        <v/>
      </c>
      <c r="T55" s="18">
        <f>IF(C55&gt;20, Q55*0.2*W55, 0)</f>
        <v/>
      </c>
      <c r="U55" s="18">
        <f>MAX(0, J55 - P55 - S55)</f>
        <v/>
      </c>
      <c r="V55" s="18">
        <f>P55 + S55 + U55</f>
        <v/>
      </c>
      <c r="W55" s="18">
        <f>IF(OR(B55&gt;=34, F55=1), 11700000, 9000000)</f>
        <v/>
      </c>
      <c r="X55" s="17" t="n">
        <v>0.02</v>
      </c>
      <c r="Y55" s="18">
        <f>AVERAGE(J52:J54)</f>
        <v/>
      </c>
      <c r="Z55" s="18">
        <f>ABS(J55 - Y55)</f>
        <v/>
      </c>
      <c r="AA55" s="18">
        <f>IF(Y55="", 0, IF(Y55&gt;J55, (Y55-J55)*2700000, 0))</f>
        <v/>
      </c>
      <c r="AB55" s="18">
        <f>IF(Y55="", 0, IF(J55&gt;Y55, (J55-Y55)*6000000, 0))</f>
        <v/>
      </c>
      <c r="AC55" s="18">
        <f>AA55 + AB55</f>
        <v/>
      </c>
      <c r="AD55" s="18">
        <f>ABS(V55 - J55)</f>
        <v/>
      </c>
      <c r="AE55" s="18">
        <f>IF(V55&gt;J55, (V55-J55)*2700000, 0)</f>
        <v/>
      </c>
      <c r="AF55" s="18">
        <f>IF(J55&gt;V55, (J55-V55)*6000000, 0)</f>
        <v/>
      </c>
      <c r="AG55" s="18">
        <f>AE55 + AF55 + T55</f>
        <v/>
      </c>
    </row>
    <row r="56">
      <c r="A56" s="14" t="inlineStr">
        <is>
          <t>Ngày 54 (23/06)</t>
        </is>
      </c>
      <c r="B56" s="15" t="n">
        <v>34.7</v>
      </c>
      <c r="C56" s="15" t="n">
        <v>0.1</v>
      </c>
      <c r="D56" s="16" t="n">
        <v>0.77</v>
      </c>
      <c r="E56" s="17" t="n">
        <v>500.5</v>
      </c>
      <c r="F56" s="18" t="n">
        <v>0</v>
      </c>
      <c r="G56" s="19" t="n">
        <v>524.4</v>
      </c>
      <c r="H56" s="19">
        <f>G56*IF(F56=1, 0.85, 0.8)</f>
        <v/>
      </c>
      <c r="I56" s="14" t="inlineStr">
        <is>
          <t>2-4</t>
        </is>
      </c>
      <c r="J56" s="18">
        <f>INT(H56/(18*0.96))</f>
        <v/>
      </c>
      <c r="K56" s="19">
        <f>MAX(15, ROUND(TREND(G$3:G$94, E$3:E$94, E56), 1))</f>
        <v/>
      </c>
      <c r="L56" s="19">
        <f>MAX(15, ROUND(TREND(G$3:G$94, B$3:E$94, B56:E56), 1))</f>
        <v/>
      </c>
      <c r="M56" s="19">
        <f>MAX(15, ROUND(TREND(G$3:G$94, B$3:F$94, B56:F56), 1))</f>
        <v/>
      </c>
      <c r="N56" s="19">
        <f>M56*IF(F56=1, 0.85, 0.8)</f>
        <v/>
      </c>
      <c r="O56" s="18">
        <f>MAX(0, INT(N56/(18*0.96)))</f>
        <v/>
      </c>
      <c r="P56" s="18">
        <f>MAX(0, ROUND(O56*70%, 0))</f>
        <v/>
      </c>
      <c r="Q56" s="18">
        <f>MAX(0, MIN(ROUNDUP(O56*0.2, 0), MAX(0, O56 - P56)))</f>
        <v/>
      </c>
      <c r="R56" s="14">
        <f>IF(C56&gt;20, "Hủy slot (Mưa &gt; 20mm)", "Kích hoạt")</f>
        <v/>
      </c>
      <c r="S56" s="18">
        <f>IF(C56&gt;20, 0, Q56)</f>
        <v/>
      </c>
      <c r="T56" s="18">
        <f>IF(C56&gt;20, Q56*0.2*W56, 0)</f>
        <v/>
      </c>
      <c r="U56" s="18">
        <f>MAX(0, J56 - P56 - S56)</f>
        <v/>
      </c>
      <c r="V56" s="18">
        <f>P56 + S56 + U56</f>
        <v/>
      </c>
      <c r="W56" s="18">
        <f>IF(OR(B56&gt;=34, F56=1), 11700000, 9000000)</f>
        <v/>
      </c>
      <c r="X56" s="17" t="n">
        <v>0.02</v>
      </c>
      <c r="Y56" s="18">
        <f>AVERAGE(J53:J55)</f>
        <v/>
      </c>
      <c r="Z56" s="18">
        <f>ABS(J56 - Y56)</f>
        <v/>
      </c>
      <c r="AA56" s="18">
        <f>IF(Y56="", 0, IF(Y56&gt;J56, (Y56-J56)*2700000, 0))</f>
        <v/>
      </c>
      <c r="AB56" s="18">
        <f>IF(Y56="", 0, IF(J56&gt;Y56, (J56-Y56)*6000000, 0))</f>
        <v/>
      </c>
      <c r="AC56" s="18">
        <f>AA56 + AB56</f>
        <v/>
      </c>
      <c r="AD56" s="18">
        <f>ABS(V56 - J56)</f>
        <v/>
      </c>
      <c r="AE56" s="18">
        <f>IF(V56&gt;J56, (V56-J56)*2700000, 0)</f>
        <v/>
      </c>
      <c r="AF56" s="18">
        <f>IF(J56&gt;V56, (J56-V56)*6000000, 0)</f>
        <v/>
      </c>
      <c r="AG56" s="18">
        <f>AE56 + AF56 + T56</f>
        <v/>
      </c>
    </row>
    <row r="57">
      <c r="A57" s="14" t="inlineStr">
        <is>
          <t>Ngày 55 (24/06)</t>
        </is>
      </c>
      <c r="B57" s="15" t="n">
        <v>35.5</v>
      </c>
      <c r="C57" s="15" t="n">
        <v>0</v>
      </c>
      <c r="D57" s="16" t="n">
        <v>0.749</v>
      </c>
      <c r="E57" s="17" t="n">
        <v>519.3</v>
      </c>
      <c r="F57" s="18" t="n">
        <v>0</v>
      </c>
      <c r="G57" s="19" t="n">
        <v>535.7</v>
      </c>
      <c r="H57" s="19">
        <f>G57*IF(F57=1, 0.85, 0.8)</f>
        <v/>
      </c>
      <c r="I57" s="14" t="inlineStr">
        <is>
          <t>2-4</t>
        </is>
      </c>
      <c r="J57" s="18">
        <f>INT(H57/(18*0.96))</f>
        <v/>
      </c>
      <c r="K57" s="19">
        <f>MAX(15, ROUND(TREND(G$3:G$94, E$3:E$94, E57), 1))</f>
        <v/>
      </c>
      <c r="L57" s="19">
        <f>MAX(15, ROUND(TREND(G$3:G$94, B$3:E$94, B57:E57), 1))</f>
        <v/>
      </c>
      <c r="M57" s="19">
        <f>MAX(15, ROUND(TREND(G$3:G$94, B$3:F$94, B57:F57), 1))</f>
        <v/>
      </c>
      <c r="N57" s="19">
        <f>M57*IF(F57=1, 0.85, 0.8)</f>
        <v/>
      </c>
      <c r="O57" s="18">
        <f>MAX(0, INT(N57/(18*0.96)))</f>
        <v/>
      </c>
      <c r="P57" s="18">
        <f>MAX(0, ROUND(O57*70%, 0))</f>
        <v/>
      </c>
      <c r="Q57" s="18">
        <f>MAX(0, MIN(ROUNDUP(O57*0.2, 0), MAX(0, O57 - P57)))</f>
        <v/>
      </c>
      <c r="R57" s="14">
        <f>IF(C57&gt;20, "Hủy slot (Mưa &gt; 20mm)", "Kích hoạt")</f>
        <v/>
      </c>
      <c r="S57" s="18">
        <f>IF(C57&gt;20, 0, Q57)</f>
        <v/>
      </c>
      <c r="T57" s="18">
        <f>IF(C57&gt;20, Q57*0.2*W57, 0)</f>
        <v/>
      </c>
      <c r="U57" s="18">
        <f>MAX(0, J57 - P57 - S57)</f>
        <v/>
      </c>
      <c r="V57" s="18">
        <f>P57 + S57 + U57</f>
        <v/>
      </c>
      <c r="W57" s="18">
        <f>IF(OR(B57&gt;=34, F57=1), 11700000, 9000000)</f>
        <v/>
      </c>
      <c r="X57" s="17" t="n">
        <v>0.02</v>
      </c>
      <c r="Y57" s="18">
        <f>AVERAGE(J54:J56)</f>
        <v/>
      </c>
      <c r="Z57" s="18">
        <f>ABS(J57 - Y57)</f>
        <v/>
      </c>
      <c r="AA57" s="18">
        <f>IF(Y57="", 0, IF(Y57&gt;J57, (Y57-J57)*2700000, 0))</f>
        <v/>
      </c>
      <c r="AB57" s="18">
        <f>IF(Y57="", 0, IF(J57&gt;Y57, (J57-Y57)*6000000, 0))</f>
        <v/>
      </c>
      <c r="AC57" s="18">
        <f>AA57 + AB57</f>
        <v/>
      </c>
      <c r="AD57" s="18">
        <f>ABS(V57 - J57)</f>
        <v/>
      </c>
      <c r="AE57" s="18">
        <f>IF(V57&gt;J57, (V57-J57)*2700000, 0)</f>
        <v/>
      </c>
      <c r="AF57" s="18">
        <f>IF(J57&gt;V57, (J57-V57)*6000000, 0)</f>
        <v/>
      </c>
      <c r="AG57" s="18">
        <f>AE57 + AF57 + T57</f>
        <v/>
      </c>
    </row>
    <row r="58">
      <c r="A58" s="14" t="inlineStr">
        <is>
          <t>Ngày 56 (25/06)</t>
        </is>
      </c>
      <c r="B58" s="15" t="n">
        <v>35.6</v>
      </c>
      <c r="C58" s="15" t="n">
        <v>0.1</v>
      </c>
      <c r="D58" s="16" t="n">
        <v>0.6899999999999999</v>
      </c>
      <c r="E58" s="17" t="n">
        <v>570.3</v>
      </c>
      <c r="F58" s="18" t="n">
        <v>1</v>
      </c>
      <c r="G58" s="19" t="n">
        <v>540.1</v>
      </c>
      <c r="H58" s="19">
        <f>G58*IF(F58=1, 0.85, 0.8)</f>
        <v/>
      </c>
      <c r="I58" s="14" t="inlineStr">
        <is>
          <t>2-4</t>
        </is>
      </c>
      <c r="J58" s="18">
        <f>INT(H58/(18*0.96))</f>
        <v/>
      </c>
      <c r="K58" s="19">
        <f>MAX(15, ROUND(TREND(G$3:G$94, E$3:E$94, E58), 1))</f>
        <v/>
      </c>
      <c r="L58" s="19">
        <f>MAX(15, ROUND(TREND(G$3:G$94, B$3:E$94, B58:E58), 1))</f>
        <v/>
      </c>
      <c r="M58" s="19">
        <f>MAX(15, ROUND(TREND(G$3:G$94, B$3:F$94, B58:F58), 1))</f>
        <v/>
      </c>
      <c r="N58" s="19">
        <f>M58*IF(F58=1, 0.85, 0.8)</f>
        <v/>
      </c>
      <c r="O58" s="18">
        <f>MAX(0, INT(N58/(18*0.96)))</f>
        <v/>
      </c>
      <c r="P58" s="18">
        <f>MAX(0, ROUND(O58*70%, 0))</f>
        <v/>
      </c>
      <c r="Q58" s="18">
        <f>MAX(0, MIN(ROUNDUP(O58*0.2, 0), MAX(0, O58 - P58)))</f>
        <v/>
      </c>
      <c r="R58" s="14">
        <f>IF(C58&gt;20, "Hủy slot (Mưa &gt; 20mm)", "Kích hoạt")</f>
        <v/>
      </c>
      <c r="S58" s="18">
        <f>IF(C58&gt;20, 0, Q58)</f>
        <v/>
      </c>
      <c r="T58" s="18">
        <f>IF(C58&gt;20, Q58*0.2*W58, 0)</f>
        <v/>
      </c>
      <c r="U58" s="18">
        <f>MAX(0, J58 - P58 - S58)</f>
        <v/>
      </c>
      <c r="V58" s="18">
        <f>P58 + S58 + U58</f>
        <v/>
      </c>
      <c r="W58" s="18">
        <f>IF(OR(B58&gt;=34, F58=1), 11700000, 9000000)</f>
        <v/>
      </c>
      <c r="X58" s="17" t="n">
        <v>0.02</v>
      </c>
      <c r="Y58" s="18">
        <f>AVERAGE(J55:J57)</f>
        <v/>
      </c>
      <c r="Z58" s="18">
        <f>ABS(J58 - Y58)</f>
        <v/>
      </c>
      <c r="AA58" s="18">
        <f>IF(Y58="", 0, IF(Y58&gt;J58, (Y58-J58)*2700000, 0))</f>
        <v/>
      </c>
      <c r="AB58" s="18">
        <f>IF(Y58="", 0, IF(J58&gt;Y58, (J58-Y58)*6000000, 0))</f>
        <v/>
      </c>
      <c r="AC58" s="18">
        <f>AA58 + AB58</f>
        <v/>
      </c>
      <c r="AD58" s="18">
        <f>ABS(V58 - J58)</f>
        <v/>
      </c>
      <c r="AE58" s="18">
        <f>IF(V58&gt;J58, (V58-J58)*2700000, 0)</f>
        <v/>
      </c>
      <c r="AF58" s="18">
        <f>IF(J58&gt;V58, (J58-V58)*6000000, 0)</f>
        <v/>
      </c>
      <c r="AG58" s="18">
        <f>AE58 + AF58 + T58</f>
        <v/>
      </c>
    </row>
    <row r="59">
      <c r="A59" s="14" t="inlineStr">
        <is>
          <t>Ngày 57 (26/06)</t>
        </is>
      </c>
      <c r="B59" s="15" t="n">
        <v>30.2</v>
      </c>
      <c r="C59" s="15" t="n">
        <v>5.4</v>
      </c>
      <c r="D59" s="16" t="n">
        <v>0.647</v>
      </c>
      <c r="E59" s="17" t="n">
        <v>570.6</v>
      </c>
      <c r="F59" s="18" t="n">
        <v>1</v>
      </c>
      <c r="G59" s="19" t="n">
        <v>520.5</v>
      </c>
      <c r="H59" s="19">
        <f>G59*IF(F59=1, 0.85, 0.8)</f>
        <v/>
      </c>
      <c r="I59" s="14" t="inlineStr">
        <is>
          <t>2-4</t>
        </is>
      </c>
      <c r="J59" s="18">
        <f>INT(H59/(18*0.96))</f>
        <v/>
      </c>
      <c r="K59" s="19">
        <f>MAX(15, ROUND(TREND(G$3:G$94, E$3:E$94, E59), 1))</f>
        <v/>
      </c>
      <c r="L59" s="19">
        <f>MAX(15, ROUND(TREND(G$3:G$94, B$3:E$94, B59:E59), 1))</f>
        <v/>
      </c>
      <c r="M59" s="19">
        <f>MAX(15, ROUND(TREND(G$3:G$94, B$3:F$94, B59:F59), 1))</f>
        <v/>
      </c>
      <c r="N59" s="19">
        <f>M59*IF(F59=1, 0.85, 0.8)</f>
        <v/>
      </c>
      <c r="O59" s="18">
        <f>MAX(0, INT(N59/(18*0.96)))</f>
        <v/>
      </c>
      <c r="P59" s="18">
        <f>MAX(0, ROUND(O59*70%, 0))</f>
        <v/>
      </c>
      <c r="Q59" s="18">
        <f>MAX(0, MIN(ROUNDUP(O59*0.2, 0), MAX(0, O59 - P59)))</f>
        <v/>
      </c>
      <c r="R59" s="14">
        <f>IF(C59&gt;20, "Hủy slot (Mưa &gt; 20mm)", "Kích hoạt")</f>
        <v/>
      </c>
      <c r="S59" s="18">
        <f>IF(C59&gt;20, 0, Q59)</f>
        <v/>
      </c>
      <c r="T59" s="18">
        <f>IF(C59&gt;20, Q59*0.2*W59, 0)</f>
        <v/>
      </c>
      <c r="U59" s="18">
        <f>MAX(0, J59 - P59 - S59)</f>
        <v/>
      </c>
      <c r="V59" s="18">
        <f>P59 + S59 + U59</f>
        <v/>
      </c>
      <c r="W59" s="18">
        <f>IF(OR(B59&gt;=34, F59=1), 11700000, 9000000)</f>
        <v/>
      </c>
      <c r="X59" s="17" t="n">
        <v>0.02</v>
      </c>
      <c r="Y59" s="18">
        <f>AVERAGE(J56:J58)</f>
        <v/>
      </c>
      <c r="Z59" s="18">
        <f>ABS(J59 - Y59)</f>
        <v/>
      </c>
      <c r="AA59" s="18">
        <f>IF(Y59="", 0, IF(Y59&gt;J59, (Y59-J59)*2700000, 0))</f>
        <v/>
      </c>
      <c r="AB59" s="18">
        <f>IF(Y59="", 0, IF(J59&gt;Y59, (J59-Y59)*6000000, 0))</f>
        <v/>
      </c>
      <c r="AC59" s="18">
        <f>AA59 + AB59</f>
        <v/>
      </c>
      <c r="AD59" s="18">
        <f>ABS(V59 - J59)</f>
        <v/>
      </c>
      <c r="AE59" s="18">
        <f>IF(V59&gt;J59, (V59-J59)*2700000, 0)</f>
        <v/>
      </c>
      <c r="AF59" s="18">
        <f>IF(J59&gt;V59, (J59-V59)*6000000, 0)</f>
        <v/>
      </c>
      <c r="AG59" s="18">
        <f>AE59 + AF59 + T59</f>
        <v/>
      </c>
    </row>
    <row r="60">
      <c r="A60" s="14" t="inlineStr">
        <is>
          <t>Ngày 58 (27/06)</t>
        </is>
      </c>
      <c r="B60" s="15" t="n">
        <v>31.8</v>
      </c>
      <c r="C60" s="15" t="n">
        <v>10.3</v>
      </c>
      <c r="D60" s="16" t="n">
        <v>0.617</v>
      </c>
      <c r="E60" s="17" t="n">
        <v>478.7</v>
      </c>
      <c r="F60" s="18" t="n">
        <v>0</v>
      </c>
      <c r="G60" s="19" t="n">
        <v>421.2</v>
      </c>
      <c r="H60" s="19">
        <f>G60*IF(F60=1, 0.85, 0.8)</f>
        <v/>
      </c>
      <c r="I60" s="14" t="inlineStr">
        <is>
          <t>2-4</t>
        </is>
      </c>
      <c r="J60" s="18">
        <f>INT(H60/(18*0.96))</f>
        <v/>
      </c>
      <c r="K60" s="19">
        <f>MAX(15, ROUND(TREND(G$3:G$94, E$3:E$94, E60), 1))</f>
        <v/>
      </c>
      <c r="L60" s="19">
        <f>MAX(15, ROUND(TREND(G$3:G$94, B$3:E$94, B60:E60), 1))</f>
        <v/>
      </c>
      <c r="M60" s="19">
        <f>MAX(15, ROUND(TREND(G$3:G$94, B$3:F$94, B60:F60), 1))</f>
        <v/>
      </c>
      <c r="N60" s="19">
        <f>M60*IF(F60=1, 0.85, 0.8)</f>
        <v/>
      </c>
      <c r="O60" s="18">
        <f>MAX(0, INT(N60/(18*0.96)))</f>
        <v/>
      </c>
      <c r="P60" s="18">
        <f>MAX(0, ROUND(O60*70%, 0))</f>
        <v/>
      </c>
      <c r="Q60" s="18">
        <f>MAX(0, MIN(ROUNDUP(O60*0.2, 0), MAX(0, O60 - P60)))</f>
        <v/>
      </c>
      <c r="R60" s="14">
        <f>IF(C60&gt;20, "Hủy slot (Mưa &gt; 20mm)", "Kích hoạt")</f>
        <v/>
      </c>
      <c r="S60" s="18">
        <f>IF(C60&gt;20, 0, Q60)</f>
        <v/>
      </c>
      <c r="T60" s="18">
        <f>IF(C60&gt;20, Q60*0.2*W60, 0)</f>
        <v/>
      </c>
      <c r="U60" s="18">
        <f>MAX(0, J60 - P60 - S60)</f>
        <v/>
      </c>
      <c r="V60" s="18">
        <f>P60 + S60 + U60</f>
        <v/>
      </c>
      <c r="W60" s="18">
        <f>IF(OR(B60&gt;=34, F60=1), 11700000, 9000000)</f>
        <v/>
      </c>
      <c r="X60" s="17" t="n">
        <v>0.02</v>
      </c>
      <c r="Y60" s="18">
        <f>AVERAGE(J57:J59)</f>
        <v/>
      </c>
      <c r="Z60" s="18">
        <f>ABS(J60 - Y60)</f>
        <v/>
      </c>
      <c r="AA60" s="18">
        <f>IF(Y60="", 0, IF(Y60&gt;J60, (Y60-J60)*2700000, 0))</f>
        <v/>
      </c>
      <c r="AB60" s="18">
        <f>IF(Y60="", 0, IF(J60&gt;Y60, (J60-Y60)*6000000, 0))</f>
        <v/>
      </c>
      <c r="AC60" s="18">
        <f>AA60 + AB60</f>
        <v/>
      </c>
      <c r="AD60" s="18">
        <f>ABS(V60 - J60)</f>
        <v/>
      </c>
      <c r="AE60" s="18">
        <f>IF(V60&gt;J60, (V60-J60)*2700000, 0)</f>
        <v/>
      </c>
      <c r="AF60" s="18">
        <f>IF(J60&gt;V60, (J60-V60)*6000000, 0)</f>
        <v/>
      </c>
      <c r="AG60" s="18">
        <f>AE60 + AF60 + T60</f>
        <v/>
      </c>
    </row>
    <row r="61">
      <c r="A61" s="14" t="inlineStr">
        <is>
          <t>Ngày 59 (28/06)</t>
        </is>
      </c>
      <c r="B61" s="15" t="n">
        <v>32.1</v>
      </c>
      <c r="C61" s="15" t="n">
        <v>15.7</v>
      </c>
      <c r="D61" s="16" t="n">
        <v>0.5600000000000001</v>
      </c>
      <c r="E61" s="17" t="n">
        <v>424.1</v>
      </c>
      <c r="F61" s="18" t="n">
        <v>0</v>
      </c>
      <c r="G61" s="19" t="n">
        <v>350</v>
      </c>
      <c r="H61" s="19">
        <f>G61*IF(F61=1, 0.85, 0.8)</f>
        <v/>
      </c>
      <c r="I61" s="14" t="inlineStr">
        <is>
          <t>2-4</t>
        </is>
      </c>
      <c r="J61" s="18">
        <f>INT(H61/(18*0.96))</f>
        <v/>
      </c>
      <c r="K61" s="19">
        <f>MAX(15, ROUND(TREND(G$3:G$94, E$3:E$94, E61), 1))</f>
        <v/>
      </c>
      <c r="L61" s="19">
        <f>MAX(15, ROUND(TREND(G$3:G$94, B$3:E$94, B61:E61), 1))</f>
        <v/>
      </c>
      <c r="M61" s="19">
        <f>MAX(15, ROUND(TREND(G$3:G$94, B$3:F$94, B61:F61), 1))</f>
        <v/>
      </c>
      <c r="N61" s="19">
        <f>M61*IF(F61=1, 0.85, 0.8)</f>
        <v/>
      </c>
      <c r="O61" s="18">
        <f>MAX(0, INT(N61/(18*0.96)))</f>
        <v/>
      </c>
      <c r="P61" s="18">
        <f>MAX(0, ROUND(O61*70%, 0))</f>
        <v/>
      </c>
      <c r="Q61" s="18">
        <f>MAX(0, MIN(ROUNDUP(O61*0.2, 0), MAX(0, O61 - P61)))</f>
        <v/>
      </c>
      <c r="R61" s="14">
        <f>IF(C61&gt;20, "Hủy slot (Mưa &gt; 20mm)", "Kích hoạt")</f>
        <v/>
      </c>
      <c r="S61" s="18">
        <f>IF(C61&gt;20, 0, Q61)</f>
        <v/>
      </c>
      <c r="T61" s="18">
        <f>IF(C61&gt;20, Q61*0.2*W61, 0)</f>
        <v/>
      </c>
      <c r="U61" s="18">
        <f>MAX(0, J61 - P61 - S61)</f>
        <v/>
      </c>
      <c r="V61" s="18">
        <f>P61 + S61 + U61</f>
        <v/>
      </c>
      <c r="W61" s="18">
        <f>IF(OR(B61&gt;=34, F61=1), 11700000, 9000000)</f>
        <v/>
      </c>
      <c r="X61" s="17" t="n">
        <v>0.02</v>
      </c>
      <c r="Y61" s="18">
        <f>AVERAGE(J58:J60)</f>
        <v/>
      </c>
      <c r="Z61" s="18">
        <f>ABS(J61 - Y61)</f>
        <v/>
      </c>
      <c r="AA61" s="18">
        <f>IF(Y61="", 0, IF(Y61&gt;J61, (Y61-J61)*2700000, 0))</f>
        <v/>
      </c>
      <c r="AB61" s="18">
        <f>IF(Y61="", 0, IF(J61&gt;Y61, (J61-Y61)*6000000, 0))</f>
        <v/>
      </c>
      <c r="AC61" s="18">
        <f>AA61 + AB61</f>
        <v/>
      </c>
      <c r="AD61" s="18">
        <f>ABS(V61 - J61)</f>
        <v/>
      </c>
      <c r="AE61" s="18">
        <f>IF(V61&gt;J61, (V61-J61)*2700000, 0)</f>
        <v/>
      </c>
      <c r="AF61" s="18">
        <f>IF(J61&gt;V61, (J61-V61)*6000000, 0)</f>
        <v/>
      </c>
      <c r="AG61" s="18">
        <f>AE61 + AF61 + T61</f>
        <v/>
      </c>
    </row>
    <row r="62">
      <c r="A62" s="14" t="inlineStr">
        <is>
          <t>Ngày 60 (29/06)</t>
        </is>
      </c>
      <c r="B62" s="15" t="n">
        <v>30.2</v>
      </c>
      <c r="C62" s="15" t="n">
        <v>13.2</v>
      </c>
      <c r="D62" s="16" t="n">
        <v>0.502</v>
      </c>
      <c r="E62" s="17" t="n">
        <v>455.8</v>
      </c>
      <c r="F62" s="18" t="n">
        <v>0</v>
      </c>
      <c r="G62" s="19" t="n">
        <v>350</v>
      </c>
      <c r="H62" s="19">
        <f>G62*IF(F62=1, 0.85, 0.8)</f>
        <v/>
      </c>
      <c r="I62" s="14" t="inlineStr">
        <is>
          <t>2-4</t>
        </is>
      </c>
      <c r="J62" s="18">
        <f>INT(H62/(18*0.96))</f>
        <v/>
      </c>
      <c r="K62" s="19">
        <f>MAX(15, ROUND(TREND(G$3:G$94, E$3:E$94, E62), 1))</f>
        <v/>
      </c>
      <c r="L62" s="19">
        <f>MAX(15, ROUND(TREND(G$3:G$94, B$3:E$94, B62:E62), 1))</f>
        <v/>
      </c>
      <c r="M62" s="19">
        <f>MAX(15, ROUND(TREND(G$3:G$94, B$3:F$94, B62:F62), 1))</f>
        <v/>
      </c>
      <c r="N62" s="19">
        <f>M62*IF(F62=1, 0.85, 0.8)</f>
        <v/>
      </c>
      <c r="O62" s="18">
        <f>MAX(0, INT(N62/(18*0.96)))</f>
        <v/>
      </c>
      <c r="P62" s="18">
        <f>MAX(0, ROUND(O62*70%, 0))</f>
        <v/>
      </c>
      <c r="Q62" s="18">
        <f>MAX(0, MIN(ROUNDUP(O62*0.2, 0), MAX(0, O62 - P62)))</f>
        <v/>
      </c>
      <c r="R62" s="14">
        <f>IF(C62&gt;20, "Hủy slot (Mưa &gt; 20mm)", "Kích hoạt")</f>
        <v/>
      </c>
      <c r="S62" s="18">
        <f>IF(C62&gt;20, 0, Q62)</f>
        <v/>
      </c>
      <c r="T62" s="18">
        <f>IF(C62&gt;20, Q62*0.2*W62, 0)</f>
        <v/>
      </c>
      <c r="U62" s="18">
        <f>MAX(0, J62 - P62 - S62)</f>
        <v/>
      </c>
      <c r="V62" s="18">
        <f>P62 + S62 + U62</f>
        <v/>
      </c>
      <c r="W62" s="18">
        <f>IF(OR(B62&gt;=34, F62=1), 11700000, 9000000)</f>
        <v/>
      </c>
      <c r="X62" s="17" t="n">
        <v>0.02</v>
      </c>
      <c r="Y62" s="18">
        <f>AVERAGE(J59:J61)</f>
        <v/>
      </c>
      <c r="Z62" s="18">
        <f>ABS(J62 - Y62)</f>
        <v/>
      </c>
      <c r="AA62" s="18">
        <f>IF(Y62="", 0, IF(Y62&gt;J62, (Y62-J62)*2700000, 0))</f>
        <v/>
      </c>
      <c r="AB62" s="18">
        <f>IF(Y62="", 0, IF(J62&gt;Y62, (J62-Y62)*6000000, 0))</f>
        <v/>
      </c>
      <c r="AC62" s="18">
        <f>AA62 + AB62</f>
        <v/>
      </c>
      <c r="AD62" s="18">
        <f>ABS(V62 - J62)</f>
        <v/>
      </c>
      <c r="AE62" s="18">
        <f>IF(V62&gt;J62, (V62-J62)*2700000, 0)</f>
        <v/>
      </c>
      <c r="AF62" s="18">
        <f>IF(J62&gt;V62, (J62-V62)*6000000, 0)</f>
        <v/>
      </c>
      <c r="AG62" s="18">
        <f>AE62 + AF62 + T62</f>
        <v/>
      </c>
    </row>
    <row r="63">
      <c r="A63" s="14" t="inlineStr">
        <is>
          <t>Ngày 61 (30/06)</t>
        </is>
      </c>
      <c r="B63" s="15" t="n">
        <v>30.7</v>
      </c>
      <c r="C63" s="15" t="n">
        <v>19.7</v>
      </c>
      <c r="D63" s="16" t="n">
        <v>0.46</v>
      </c>
      <c r="E63" s="17" t="n">
        <v>417.5</v>
      </c>
      <c r="F63" s="18" t="n">
        <v>0</v>
      </c>
      <c r="G63" s="19" t="n">
        <v>350</v>
      </c>
      <c r="H63" s="19">
        <f>G63*IF(F63=1, 0.85, 0.8)</f>
        <v/>
      </c>
      <c r="I63" s="14" t="inlineStr">
        <is>
          <t>2-4</t>
        </is>
      </c>
      <c r="J63" s="18">
        <f>INT(H63/(18*0.96))</f>
        <v/>
      </c>
      <c r="K63" s="19">
        <f>MAX(15, ROUND(TREND(G$3:G$94, E$3:E$94, E63), 1))</f>
        <v/>
      </c>
      <c r="L63" s="19">
        <f>MAX(15, ROUND(TREND(G$3:G$94, B$3:E$94, B63:E63), 1))</f>
        <v/>
      </c>
      <c r="M63" s="19">
        <f>MAX(15, ROUND(TREND(G$3:G$94, B$3:F$94, B63:F63), 1))</f>
        <v/>
      </c>
      <c r="N63" s="19">
        <f>M63*IF(F63=1, 0.85, 0.8)</f>
        <v/>
      </c>
      <c r="O63" s="18">
        <f>MAX(0, INT(N63/(18*0.96)))</f>
        <v/>
      </c>
      <c r="P63" s="18">
        <f>MAX(0, ROUND(O63*70%, 0))</f>
        <v/>
      </c>
      <c r="Q63" s="18">
        <f>MAX(0, MIN(ROUNDUP(O63*0.2, 0), MAX(0, O63 - P63)))</f>
        <v/>
      </c>
      <c r="R63" s="14">
        <f>IF(C63&gt;20, "Hủy slot (Mưa &gt; 20mm)", "Kích hoạt")</f>
        <v/>
      </c>
      <c r="S63" s="18">
        <f>IF(C63&gt;20, 0, Q63)</f>
        <v/>
      </c>
      <c r="T63" s="18">
        <f>IF(C63&gt;20, Q63*0.2*W63, 0)</f>
        <v/>
      </c>
      <c r="U63" s="18">
        <f>MAX(0, J63 - P63 - S63)</f>
        <v/>
      </c>
      <c r="V63" s="18">
        <f>P63 + S63 + U63</f>
        <v/>
      </c>
      <c r="W63" s="18">
        <f>IF(OR(B63&gt;=34, F63=1), 11700000, 9000000)</f>
        <v/>
      </c>
      <c r="X63" s="17" t="n">
        <v>0.02</v>
      </c>
      <c r="Y63" s="18">
        <f>AVERAGE(J60:J62)</f>
        <v/>
      </c>
      <c r="Z63" s="18">
        <f>ABS(J63 - Y63)</f>
        <v/>
      </c>
      <c r="AA63" s="18">
        <f>IF(Y63="", 0, IF(Y63&gt;J63, (Y63-J63)*2700000, 0))</f>
        <v/>
      </c>
      <c r="AB63" s="18">
        <f>IF(Y63="", 0, IF(J63&gt;Y63, (J63-Y63)*6000000, 0))</f>
        <v/>
      </c>
      <c r="AC63" s="18">
        <f>AA63 + AB63</f>
        <v/>
      </c>
      <c r="AD63" s="18">
        <f>ABS(V63 - J63)</f>
        <v/>
      </c>
      <c r="AE63" s="18">
        <f>IF(V63&gt;J63, (V63-J63)*2700000, 0)</f>
        <v/>
      </c>
      <c r="AF63" s="18">
        <f>IF(J63&gt;V63, (J63-V63)*6000000, 0)</f>
        <v/>
      </c>
      <c r="AG63" s="18">
        <f>AE63 + AF63 + T63</f>
        <v/>
      </c>
    </row>
    <row r="64">
      <c r="A64" s="14" t="inlineStr">
        <is>
          <t>Ngày 62 (01/07)</t>
        </is>
      </c>
      <c r="B64" s="15" t="n">
        <v>31.6</v>
      </c>
      <c r="C64" s="15" t="n">
        <v>11.7</v>
      </c>
      <c r="D64" s="16" t="n">
        <v>0.676</v>
      </c>
      <c r="E64" s="17" t="n">
        <v>287.8</v>
      </c>
      <c r="F64" s="18" t="n">
        <v>0</v>
      </c>
      <c r="G64" s="19" t="n">
        <v>254.4</v>
      </c>
      <c r="H64" s="19">
        <f>G64*IF(F64=1, 0.85, 0.8)</f>
        <v/>
      </c>
      <c r="I64" s="14" t="inlineStr">
        <is>
          <t>2-4</t>
        </is>
      </c>
      <c r="J64" s="18">
        <f>INT(H64/(18*0.96))</f>
        <v/>
      </c>
      <c r="K64" s="19">
        <f>MAX(15, ROUND(TREND(G$3:G$94, E$3:E$94, E64), 1))</f>
        <v/>
      </c>
      <c r="L64" s="19">
        <f>MAX(15, ROUND(TREND(G$3:G$94, B$3:E$94, B64:E64), 1))</f>
        <v/>
      </c>
      <c r="M64" s="19">
        <f>MAX(15, ROUND(TREND(G$3:G$94, B$3:F$94, B64:F64), 1))</f>
        <v/>
      </c>
      <c r="N64" s="19">
        <f>M64*IF(F64=1, 0.85, 0.8)</f>
        <v/>
      </c>
      <c r="O64" s="18">
        <f>MAX(0, INT(N64/(18*0.96)))</f>
        <v/>
      </c>
      <c r="P64" s="18">
        <f>MAX(0, ROUND(O64*70%, 0))</f>
        <v/>
      </c>
      <c r="Q64" s="18">
        <f>MAX(0, MIN(ROUNDUP(O64*0.2, 0), MAX(0, O64 - P64)))</f>
        <v/>
      </c>
      <c r="R64" s="14">
        <f>IF(C64&gt;20, "Hủy slot (Mưa &gt; 20mm)", "Kích hoạt")</f>
        <v/>
      </c>
      <c r="S64" s="18">
        <f>IF(C64&gt;20, 0, Q64)</f>
        <v/>
      </c>
      <c r="T64" s="18">
        <f>IF(C64&gt;20, Q64*0.2*W64, 0)</f>
        <v/>
      </c>
      <c r="U64" s="18">
        <f>MAX(0, J64 - P64 - S64)</f>
        <v/>
      </c>
      <c r="V64" s="18">
        <f>P64 + S64 + U64</f>
        <v/>
      </c>
      <c r="W64" s="18">
        <f>IF(OR(B64&gt;=34, F64=1), 11700000, 9000000)</f>
        <v/>
      </c>
      <c r="X64" s="17" t="n">
        <v>0.02</v>
      </c>
      <c r="Y64" s="18">
        <f>AVERAGE(J61:J63)</f>
        <v/>
      </c>
      <c r="Z64" s="18">
        <f>ABS(J64 - Y64)</f>
        <v/>
      </c>
      <c r="AA64" s="18">
        <f>IF(Y64="", 0, IF(Y64&gt;J64, (Y64-J64)*2700000, 0))</f>
        <v/>
      </c>
      <c r="AB64" s="18">
        <f>IF(Y64="", 0, IF(J64&gt;Y64, (J64-Y64)*6000000, 0))</f>
        <v/>
      </c>
      <c r="AC64" s="18">
        <f>AA64 + AB64</f>
        <v/>
      </c>
      <c r="AD64" s="18">
        <f>ABS(V64 - J64)</f>
        <v/>
      </c>
      <c r="AE64" s="18">
        <f>IF(V64&gt;J64, (V64-J64)*2700000, 0)</f>
        <v/>
      </c>
      <c r="AF64" s="18">
        <f>IF(J64&gt;V64, (J64-V64)*6000000, 0)</f>
        <v/>
      </c>
      <c r="AG64" s="18">
        <f>AE64 + AF64 + T64</f>
        <v/>
      </c>
    </row>
    <row r="65">
      <c r="A65" s="14" t="inlineStr">
        <is>
          <t>Ngày 63 (02/07)</t>
        </is>
      </c>
      <c r="B65" s="15" t="n">
        <v>31.7</v>
      </c>
      <c r="C65" s="15" t="n">
        <v>3.4</v>
      </c>
      <c r="D65" s="16" t="n">
        <v>0.653</v>
      </c>
      <c r="E65" s="17" t="n">
        <v>279.6</v>
      </c>
      <c r="F65" s="18" t="n">
        <v>1</v>
      </c>
      <c r="G65" s="19" t="n">
        <v>282.2</v>
      </c>
      <c r="H65" s="19">
        <f>G65*IF(F65=1, 0.85, 0.8)</f>
        <v/>
      </c>
      <c r="I65" s="14" t="inlineStr">
        <is>
          <t>2-4</t>
        </is>
      </c>
      <c r="J65" s="18">
        <f>INT(H65/(18*0.96))</f>
        <v/>
      </c>
      <c r="K65" s="19">
        <f>MAX(15, ROUND(TREND(G$3:G$94, E$3:E$94, E65), 1))</f>
        <v/>
      </c>
      <c r="L65" s="19">
        <f>MAX(15, ROUND(TREND(G$3:G$94, B$3:E$94, B65:E65), 1))</f>
        <v/>
      </c>
      <c r="M65" s="19">
        <f>MAX(15, ROUND(TREND(G$3:G$94, B$3:F$94, B65:F65), 1))</f>
        <v/>
      </c>
      <c r="N65" s="19">
        <f>M65*IF(F65=1, 0.85, 0.8)</f>
        <v/>
      </c>
      <c r="O65" s="18">
        <f>MAX(0, INT(N65/(18*0.96)))</f>
        <v/>
      </c>
      <c r="P65" s="18">
        <f>MAX(0, ROUND(O65*70%, 0))</f>
        <v/>
      </c>
      <c r="Q65" s="18">
        <f>MAX(0, MIN(ROUNDUP(O65*0.2, 0), MAX(0, O65 - P65)))</f>
        <v/>
      </c>
      <c r="R65" s="14">
        <f>IF(C65&gt;20, "Hủy slot (Mưa &gt; 20mm)", "Kích hoạt")</f>
        <v/>
      </c>
      <c r="S65" s="18">
        <f>IF(C65&gt;20, 0, Q65)</f>
        <v/>
      </c>
      <c r="T65" s="18">
        <f>IF(C65&gt;20, Q65*0.2*W65, 0)</f>
        <v/>
      </c>
      <c r="U65" s="18">
        <f>MAX(0, J65 - P65 - S65)</f>
        <v/>
      </c>
      <c r="V65" s="18">
        <f>P65 + S65 + U65</f>
        <v/>
      </c>
      <c r="W65" s="18">
        <f>IF(OR(B65&gt;=34, F65=1), 11700000, 9000000)</f>
        <v/>
      </c>
      <c r="X65" s="17" t="n">
        <v>0.02</v>
      </c>
      <c r="Y65" s="18">
        <f>AVERAGE(J62:J64)</f>
        <v/>
      </c>
      <c r="Z65" s="18">
        <f>ABS(J65 - Y65)</f>
        <v/>
      </c>
      <c r="AA65" s="18">
        <f>IF(Y65="", 0, IF(Y65&gt;J65, (Y65-J65)*2700000, 0))</f>
        <v/>
      </c>
      <c r="AB65" s="18">
        <f>IF(Y65="", 0, IF(J65&gt;Y65, (J65-Y65)*6000000, 0))</f>
        <v/>
      </c>
      <c r="AC65" s="18">
        <f>AA65 + AB65</f>
        <v/>
      </c>
      <c r="AD65" s="18">
        <f>ABS(V65 - J65)</f>
        <v/>
      </c>
      <c r="AE65" s="18">
        <f>IF(V65&gt;J65, (V65-J65)*2700000, 0)</f>
        <v/>
      </c>
      <c r="AF65" s="18">
        <f>IF(J65&gt;V65, (J65-V65)*6000000, 0)</f>
        <v/>
      </c>
      <c r="AG65" s="18">
        <f>AE65 + AF65 + T65</f>
        <v/>
      </c>
    </row>
    <row r="66">
      <c r="A66" s="14" t="inlineStr">
        <is>
          <t>Ngày 64 (03/07)</t>
        </is>
      </c>
      <c r="B66" s="15" t="n">
        <v>30.5</v>
      </c>
      <c r="C66" s="15" t="n">
        <v>11</v>
      </c>
      <c r="D66" s="16" t="n">
        <v>0.638</v>
      </c>
      <c r="E66" s="17" t="n">
        <v>278.7</v>
      </c>
      <c r="F66" s="18" t="n">
        <v>1</v>
      </c>
      <c r="G66" s="19" t="n">
        <v>249.6</v>
      </c>
      <c r="H66" s="19">
        <f>G66*IF(F66=1, 0.85, 0.8)</f>
        <v/>
      </c>
      <c r="I66" s="14" t="inlineStr">
        <is>
          <t>2-4</t>
        </is>
      </c>
      <c r="J66" s="18">
        <f>INT(H66/(18*0.96))</f>
        <v/>
      </c>
      <c r="K66" s="19">
        <f>MAX(15, ROUND(TREND(G$3:G$94, E$3:E$94, E66), 1))</f>
        <v/>
      </c>
      <c r="L66" s="19">
        <f>MAX(15, ROUND(TREND(G$3:G$94, B$3:E$94, B66:E66), 1))</f>
        <v/>
      </c>
      <c r="M66" s="19">
        <f>MAX(15, ROUND(TREND(G$3:G$94, B$3:F$94, B66:F66), 1))</f>
        <v/>
      </c>
      <c r="N66" s="19">
        <f>M66*IF(F66=1, 0.85, 0.8)</f>
        <v/>
      </c>
      <c r="O66" s="18">
        <f>MAX(0, INT(N66/(18*0.96)))</f>
        <v/>
      </c>
      <c r="P66" s="18">
        <f>MAX(0, ROUND(O66*70%, 0))</f>
        <v/>
      </c>
      <c r="Q66" s="18">
        <f>MAX(0, MIN(ROUNDUP(O66*0.2, 0), MAX(0, O66 - P66)))</f>
        <v/>
      </c>
      <c r="R66" s="14">
        <f>IF(C66&gt;20, "Hủy slot (Mưa &gt; 20mm)", "Kích hoạt")</f>
        <v/>
      </c>
      <c r="S66" s="18">
        <f>IF(C66&gt;20, 0, Q66)</f>
        <v/>
      </c>
      <c r="T66" s="18">
        <f>IF(C66&gt;20, Q66*0.2*W66, 0)</f>
        <v/>
      </c>
      <c r="U66" s="18">
        <f>MAX(0, J66 - P66 - S66)</f>
        <v/>
      </c>
      <c r="V66" s="18">
        <f>P66 + S66 + U66</f>
        <v/>
      </c>
      <c r="W66" s="18">
        <f>IF(OR(B66&gt;=34, F66=1), 11700000, 9000000)</f>
        <v/>
      </c>
      <c r="X66" s="17" t="n">
        <v>0.02</v>
      </c>
      <c r="Y66" s="18">
        <f>AVERAGE(J63:J65)</f>
        <v/>
      </c>
      <c r="Z66" s="18">
        <f>ABS(J66 - Y66)</f>
        <v/>
      </c>
      <c r="AA66" s="18">
        <f>IF(Y66="", 0, IF(Y66&gt;J66, (Y66-J66)*2700000, 0))</f>
        <v/>
      </c>
      <c r="AB66" s="18">
        <f>IF(Y66="", 0, IF(J66&gt;Y66, (J66-Y66)*6000000, 0))</f>
        <v/>
      </c>
      <c r="AC66" s="18">
        <f>AA66 + AB66</f>
        <v/>
      </c>
      <c r="AD66" s="18">
        <f>ABS(V66 - J66)</f>
        <v/>
      </c>
      <c r="AE66" s="18">
        <f>IF(V66&gt;J66, (V66-J66)*2700000, 0)</f>
        <v/>
      </c>
      <c r="AF66" s="18">
        <f>IF(J66&gt;V66, (J66-V66)*6000000, 0)</f>
        <v/>
      </c>
      <c r="AG66" s="18">
        <f>AE66 + AF66 + T66</f>
        <v/>
      </c>
    </row>
    <row r="67">
      <c r="A67" s="14" t="inlineStr">
        <is>
          <t>Ngày 65 (04/07)</t>
        </is>
      </c>
      <c r="B67" s="15" t="n">
        <v>30.6</v>
      </c>
      <c r="C67" s="15" t="n">
        <v>13.5</v>
      </c>
      <c r="D67" s="16" t="n">
        <v>0.623</v>
      </c>
      <c r="E67" s="17" t="n">
        <v>249.1</v>
      </c>
      <c r="F67" s="18" t="n">
        <v>0</v>
      </c>
      <c r="G67" s="19" t="n">
        <v>209.6</v>
      </c>
      <c r="H67" s="19">
        <f>G67*IF(F67=1, 0.85, 0.8)</f>
        <v/>
      </c>
      <c r="I67" s="14" t="inlineStr">
        <is>
          <t>2-4</t>
        </is>
      </c>
      <c r="J67" s="18">
        <f>INT(H67/(18*0.96))</f>
        <v/>
      </c>
      <c r="K67" s="19">
        <f>MAX(15, ROUND(TREND(G$3:G$94, E$3:E$94, E67), 1))</f>
        <v/>
      </c>
      <c r="L67" s="19">
        <f>MAX(15, ROUND(TREND(G$3:G$94, B$3:E$94, B67:E67), 1))</f>
        <v/>
      </c>
      <c r="M67" s="19">
        <f>MAX(15, ROUND(TREND(G$3:G$94, B$3:F$94, B67:F67), 1))</f>
        <v/>
      </c>
      <c r="N67" s="19">
        <f>M67*IF(F67=1, 0.85, 0.8)</f>
        <v/>
      </c>
      <c r="O67" s="18">
        <f>MAX(0, INT(N67/(18*0.96)))</f>
        <v/>
      </c>
      <c r="P67" s="18">
        <f>MAX(0, ROUND(O67*70%, 0))</f>
        <v/>
      </c>
      <c r="Q67" s="18">
        <f>MAX(0, MIN(ROUNDUP(O67*0.2, 0), MAX(0, O67 - P67)))</f>
        <v/>
      </c>
      <c r="R67" s="14">
        <f>IF(C67&gt;20, "Hủy slot (Mưa &gt; 20mm)", "Kích hoạt")</f>
        <v/>
      </c>
      <c r="S67" s="18">
        <f>IF(C67&gt;20, 0, Q67)</f>
        <v/>
      </c>
      <c r="T67" s="18">
        <f>IF(C67&gt;20, Q67*0.2*W67, 0)</f>
        <v/>
      </c>
      <c r="U67" s="18">
        <f>MAX(0, J67 - P67 - S67)</f>
        <v/>
      </c>
      <c r="V67" s="18">
        <f>P67 + S67 + U67</f>
        <v/>
      </c>
      <c r="W67" s="18">
        <f>IF(OR(B67&gt;=34, F67=1), 11700000, 9000000)</f>
        <v/>
      </c>
      <c r="X67" s="17" t="n">
        <v>0.02</v>
      </c>
      <c r="Y67" s="18">
        <f>AVERAGE(J64:J66)</f>
        <v/>
      </c>
      <c r="Z67" s="18">
        <f>ABS(J67 - Y67)</f>
        <v/>
      </c>
      <c r="AA67" s="18">
        <f>IF(Y67="", 0, IF(Y67&gt;J67, (Y67-J67)*2700000, 0))</f>
        <v/>
      </c>
      <c r="AB67" s="18">
        <f>IF(Y67="", 0, IF(J67&gt;Y67, (J67-Y67)*6000000, 0))</f>
        <v/>
      </c>
      <c r="AC67" s="18">
        <f>AA67 + AB67</f>
        <v/>
      </c>
      <c r="AD67" s="18">
        <f>ABS(V67 - J67)</f>
        <v/>
      </c>
      <c r="AE67" s="18">
        <f>IF(V67&gt;J67, (V67-J67)*2700000, 0)</f>
        <v/>
      </c>
      <c r="AF67" s="18">
        <f>IF(J67&gt;V67, (J67-V67)*6000000, 0)</f>
        <v/>
      </c>
      <c r="AG67" s="18">
        <f>AE67 + AF67 + T67</f>
        <v/>
      </c>
    </row>
    <row r="68">
      <c r="A68" s="14" t="inlineStr">
        <is>
          <t>Ngày 66 (05/07)</t>
        </is>
      </c>
      <c r="B68" s="15" t="n">
        <v>28.7</v>
      </c>
      <c r="C68" s="15" t="n">
        <v>25</v>
      </c>
      <c r="D68" s="16" t="n">
        <v>0.594</v>
      </c>
      <c r="E68" s="17" t="n">
        <v>236.3</v>
      </c>
      <c r="F68" s="18" t="n">
        <v>0</v>
      </c>
      <c r="G68" s="19" t="n">
        <v>176.3</v>
      </c>
      <c r="H68" s="19">
        <f>G68*IF(F68=1, 0.85, 0.8)</f>
        <v/>
      </c>
      <c r="I68" s="14" t="inlineStr">
        <is>
          <t>2-4</t>
        </is>
      </c>
      <c r="J68" s="18">
        <f>INT(H68/(18*0.96))</f>
        <v/>
      </c>
      <c r="K68" s="19">
        <f>MAX(15, ROUND(TREND(G$3:G$94, E$3:E$94, E68), 1))</f>
        <v/>
      </c>
      <c r="L68" s="19">
        <f>MAX(15, ROUND(TREND(G$3:G$94, B$3:E$94, B68:E68), 1))</f>
        <v/>
      </c>
      <c r="M68" s="19">
        <f>MAX(15, ROUND(TREND(G$3:G$94, B$3:F$94, B68:F68), 1))</f>
        <v/>
      </c>
      <c r="N68" s="19">
        <f>M68*IF(F68=1, 0.85, 0.8)</f>
        <v/>
      </c>
      <c r="O68" s="18">
        <f>MAX(0, INT(N68/(18*0.96)))</f>
        <v/>
      </c>
      <c r="P68" s="18">
        <f>MAX(0, ROUND(O68*70%, 0))</f>
        <v/>
      </c>
      <c r="Q68" s="18">
        <f>MAX(0, MIN(ROUNDUP(O68*0.2, 0), MAX(0, O68 - P68)))</f>
        <v/>
      </c>
      <c r="R68" s="14">
        <f>IF(C68&gt;20, "Hủy slot (Mưa &gt; 20mm)", "Kích hoạt")</f>
        <v/>
      </c>
      <c r="S68" s="18">
        <f>IF(C68&gt;20, 0, Q68)</f>
        <v/>
      </c>
      <c r="T68" s="18">
        <f>IF(C68&gt;20, Q68*0.2*W68, 0)</f>
        <v/>
      </c>
      <c r="U68" s="18">
        <f>MAX(0, J68 - P68 - S68)</f>
        <v/>
      </c>
      <c r="V68" s="18">
        <f>P68 + S68 + U68</f>
        <v/>
      </c>
      <c r="W68" s="18">
        <f>IF(OR(B68&gt;=34, F68=1), 11700000, 9000000)</f>
        <v/>
      </c>
      <c r="X68" s="17" t="n">
        <v>0.02</v>
      </c>
      <c r="Y68" s="18">
        <f>AVERAGE(J65:J67)</f>
        <v/>
      </c>
      <c r="Z68" s="18">
        <f>ABS(J68 - Y68)</f>
        <v/>
      </c>
      <c r="AA68" s="18">
        <f>IF(Y68="", 0, IF(Y68&gt;J68, (Y68-J68)*2700000, 0))</f>
        <v/>
      </c>
      <c r="AB68" s="18">
        <f>IF(Y68="", 0, IF(J68&gt;Y68, (J68-Y68)*6000000, 0))</f>
        <v/>
      </c>
      <c r="AC68" s="18">
        <f>AA68 + AB68</f>
        <v/>
      </c>
      <c r="AD68" s="18">
        <f>ABS(V68 - J68)</f>
        <v/>
      </c>
      <c r="AE68" s="18">
        <f>IF(V68&gt;J68, (V68-J68)*2700000, 0)</f>
        <v/>
      </c>
      <c r="AF68" s="18">
        <f>IF(J68&gt;V68, (J68-V68)*6000000, 0)</f>
        <v/>
      </c>
      <c r="AG68" s="18">
        <f>AE68 + AF68 + T68</f>
        <v/>
      </c>
    </row>
    <row r="69">
      <c r="A69" s="14" t="inlineStr">
        <is>
          <t>Ngày 67 (06/07)</t>
        </is>
      </c>
      <c r="B69" s="15" t="n">
        <v>31.9</v>
      </c>
      <c r="C69" s="15" t="n">
        <v>6.1</v>
      </c>
      <c r="D69" s="16" t="n">
        <v>0.571</v>
      </c>
      <c r="E69" s="17" t="n">
        <v>215.4</v>
      </c>
      <c r="F69" s="18" t="n">
        <v>0</v>
      </c>
      <c r="G69" s="19" t="n">
        <v>234.5</v>
      </c>
      <c r="H69" s="19">
        <f>G69*IF(F69=1, 0.85, 0.8)</f>
        <v/>
      </c>
      <c r="I69" s="14" t="inlineStr">
        <is>
          <t>2-4</t>
        </is>
      </c>
      <c r="J69" s="18">
        <f>INT(H69/(18*0.96))</f>
        <v/>
      </c>
      <c r="K69" s="19">
        <f>MAX(15, ROUND(TREND(G$3:G$94, E$3:E$94, E69), 1))</f>
        <v/>
      </c>
      <c r="L69" s="19">
        <f>MAX(15, ROUND(TREND(G$3:G$94, B$3:E$94, B69:E69), 1))</f>
        <v/>
      </c>
      <c r="M69" s="19">
        <f>MAX(15, ROUND(TREND(G$3:G$94, B$3:F$94, B69:F69), 1))</f>
        <v/>
      </c>
      <c r="N69" s="19">
        <f>M69*IF(F69=1, 0.85, 0.8)</f>
        <v/>
      </c>
      <c r="O69" s="18">
        <f>MAX(0, INT(N69/(18*0.96)))</f>
        <v/>
      </c>
      <c r="P69" s="18">
        <f>MAX(0, ROUND(O69*70%, 0))</f>
        <v/>
      </c>
      <c r="Q69" s="18">
        <f>MAX(0, MIN(ROUNDUP(O69*0.2, 0), MAX(0, O69 - P69)))</f>
        <v/>
      </c>
      <c r="R69" s="14">
        <f>IF(C69&gt;20, "Hủy slot (Mưa &gt; 20mm)", "Kích hoạt")</f>
        <v/>
      </c>
      <c r="S69" s="18">
        <f>IF(C69&gt;20, 0, Q69)</f>
        <v/>
      </c>
      <c r="T69" s="18">
        <f>IF(C69&gt;20, Q69*0.2*W69, 0)</f>
        <v/>
      </c>
      <c r="U69" s="18">
        <f>MAX(0, J69 - P69 - S69)</f>
        <v/>
      </c>
      <c r="V69" s="18">
        <f>P69 + S69 + U69</f>
        <v/>
      </c>
      <c r="W69" s="18">
        <f>IF(OR(B69&gt;=34, F69=1), 11700000, 9000000)</f>
        <v/>
      </c>
      <c r="X69" s="17" t="n">
        <v>0.02</v>
      </c>
      <c r="Y69" s="18">
        <f>AVERAGE(J66:J68)</f>
        <v/>
      </c>
      <c r="Z69" s="18">
        <f>ABS(J69 - Y69)</f>
        <v/>
      </c>
      <c r="AA69" s="18">
        <f>IF(Y69="", 0, IF(Y69&gt;J69, (Y69-J69)*2700000, 0))</f>
        <v/>
      </c>
      <c r="AB69" s="18">
        <f>IF(Y69="", 0, IF(J69&gt;Y69, (J69-Y69)*6000000, 0))</f>
        <v/>
      </c>
      <c r="AC69" s="18">
        <f>AA69 + AB69</f>
        <v/>
      </c>
      <c r="AD69" s="18">
        <f>ABS(V69 - J69)</f>
        <v/>
      </c>
      <c r="AE69" s="18">
        <f>IF(V69&gt;J69, (V69-J69)*2700000, 0)</f>
        <v/>
      </c>
      <c r="AF69" s="18">
        <f>IF(J69&gt;V69, (J69-V69)*6000000, 0)</f>
        <v/>
      </c>
      <c r="AG69" s="18">
        <f>AE69 + AF69 + T69</f>
        <v/>
      </c>
    </row>
    <row r="70">
      <c r="A70" s="14" t="inlineStr">
        <is>
          <t>Ngày 68 (07/07)</t>
        </is>
      </c>
      <c r="B70" s="15" t="n">
        <v>32.5</v>
      </c>
      <c r="C70" s="15" t="n">
        <v>5.1</v>
      </c>
      <c r="D70" s="16" t="n">
        <v>0.546</v>
      </c>
      <c r="E70" s="17" t="n">
        <v>208.2</v>
      </c>
      <c r="F70" s="18" t="n">
        <v>0</v>
      </c>
      <c r="G70" s="19" t="n">
        <v>219.8</v>
      </c>
      <c r="H70" s="19">
        <f>G70*IF(F70=1, 0.85, 0.8)</f>
        <v/>
      </c>
      <c r="I70" s="14" t="inlineStr">
        <is>
          <t>2-4</t>
        </is>
      </c>
      <c r="J70" s="18">
        <f>INT(H70/(18*0.96))</f>
        <v/>
      </c>
      <c r="K70" s="19">
        <f>MAX(15, ROUND(TREND(G$3:G$94, E$3:E$94, E70), 1))</f>
        <v/>
      </c>
      <c r="L70" s="19">
        <f>MAX(15, ROUND(TREND(G$3:G$94, B$3:E$94, B70:E70), 1))</f>
        <v/>
      </c>
      <c r="M70" s="19">
        <f>MAX(15, ROUND(TREND(G$3:G$94, B$3:F$94, B70:F70), 1))</f>
        <v/>
      </c>
      <c r="N70" s="19">
        <f>M70*IF(F70=1, 0.85, 0.8)</f>
        <v/>
      </c>
      <c r="O70" s="18">
        <f>MAX(0, INT(N70/(18*0.96)))</f>
        <v/>
      </c>
      <c r="P70" s="18">
        <f>MAX(0, ROUND(O70*70%, 0))</f>
        <v/>
      </c>
      <c r="Q70" s="18">
        <f>MAX(0, MIN(ROUNDUP(O70*0.2, 0), MAX(0, O70 - P70)))</f>
        <v/>
      </c>
      <c r="R70" s="14">
        <f>IF(C70&gt;20, "Hủy slot (Mưa &gt; 20mm)", "Kích hoạt")</f>
        <v/>
      </c>
      <c r="S70" s="18">
        <f>IF(C70&gt;20, 0, Q70)</f>
        <v/>
      </c>
      <c r="T70" s="18">
        <f>IF(C70&gt;20, Q70*0.2*W70, 0)</f>
        <v/>
      </c>
      <c r="U70" s="18">
        <f>MAX(0, J70 - P70 - S70)</f>
        <v/>
      </c>
      <c r="V70" s="18">
        <f>P70 + S70 + U70</f>
        <v/>
      </c>
      <c r="W70" s="18">
        <f>IF(OR(B70&gt;=34, F70=1), 11700000, 9000000)</f>
        <v/>
      </c>
      <c r="X70" s="17" t="n">
        <v>0.02</v>
      </c>
      <c r="Y70" s="18">
        <f>AVERAGE(J67:J69)</f>
        <v/>
      </c>
      <c r="Z70" s="18">
        <f>ABS(J70 - Y70)</f>
        <v/>
      </c>
      <c r="AA70" s="18">
        <f>IF(Y70="", 0, IF(Y70&gt;J70, (Y70-J70)*2700000, 0))</f>
        <v/>
      </c>
      <c r="AB70" s="18">
        <f>IF(Y70="", 0, IF(J70&gt;Y70, (J70-Y70)*6000000, 0))</f>
        <v/>
      </c>
      <c r="AC70" s="18">
        <f>AA70 + AB70</f>
        <v/>
      </c>
      <c r="AD70" s="18">
        <f>ABS(V70 - J70)</f>
        <v/>
      </c>
      <c r="AE70" s="18">
        <f>IF(V70&gt;J70, (V70-J70)*2700000, 0)</f>
        <v/>
      </c>
      <c r="AF70" s="18">
        <f>IF(J70&gt;V70, (J70-V70)*6000000, 0)</f>
        <v/>
      </c>
      <c r="AG70" s="18">
        <f>AE70 + AF70 + T70</f>
        <v/>
      </c>
    </row>
    <row r="71">
      <c r="A71" s="14" t="inlineStr">
        <is>
          <t>Ngày 69 (08/07)</t>
        </is>
      </c>
      <c r="B71" s="15" t="n">
        <v>32.5</v>
      </c>
      <c r="C71" s="15" t="n">
        <v>7.4</v>
      </c>
      <c r="D71" s="16" t="n">
        <v>0.518</v>
      </c>
      <c r="E71" s="17" t="n">
        <v>203.8</v>
      </c>
      <c r="F71" s="18" t="n">
        <v>0</v>
      </c>
      <c r="G71" s="19" t="n">
        <v>216.5</v>
      </c>
      <c r="H71" s="19">
        <f>G71*IF(F71=1, 0.85, 0.8)</f>
        <v/>
      </c>
      <c r="I71" s="14" t="inlineStr">
        <is>
          <t>2-4</t>
        </is>
      </c>
      <c r="J71" s="18">
        <f>INT(H71/(18*0.96))</f>
        <v/>
      </c>
      <c r="K71" s="19">
        <f>MAX(15, ROUND(TREND(G$3:G$94, E$3:E$94, E71), 1))</f>
        <v/>
      </c>
      <c r="L71" s="19">
        <f>MAX(15, ROUND(TREND(G$3:G$94, B$3:E$94, B71:E71), 1))</f>
        <v/>
      </c>
      <c r="M71" s="19">
        <f>MAX(15, ROUND(TREND(G$3:G$94, B$3:F$94, B71:F71), 1))</f>
        <v/>
      </c>
      <c r="N71" s="19">
        <f>M71*IF(F71=1, 0.85, 0.8)</f>
        <v/>
      </c>
      <c r="O71" s="18">
        <f>MAX(0, INT(N71/(18*0.96)))</f>
        <v/>
      </c>
      <c r="P71" s="18">
        <f>MAX(0, ROUND(O71*70%, 0))</f>
        <v/>
      </c>
      <c r="Q71" s="18">
        <f>MAX(0, MIN(ROUNDUP(O71*0.2, 0), MAX(0, O71 - P71)))</f>
        <v/>
      </c>
      <c r="R71" s="14">
        <f>IF(C71&gt;20, "Hủy slot (Mưa &gt; 20mm)", "Kích hoạt")</f>
        <v/>
      </c>
      <c r="S71" s="18">
        <f>IF(C71&gt;20, 0, Q71)</f>
        <v/>
      </c>
      <c r="T71" s="18">
        <f>IF(C71&gt;20, Q71*0.2*W71, 0)</f>
        <v/>
      </c>
      <c r="U71" s="18">
        <f>MAX(0, J71 - P71 - S71)</f>
        <v/>
      </c>
      <c r="V71" s="18">
        <f>P71 + S71 + U71</f>
        <v/>
      </c>
      <c r="W71" s="18">
        <f>IF(OR(B71&gt;=34, F71=1), 11700000, 9000000)</f>
        <v/>
      </c>
      <c r="X71" s="17" t="n">
        <v>0.02</v>
      </c>
      <c r="Y71" s="18">
        <f>AVERAGE(J68:J70)</f>
        <v/>
      </c>
      <c r="Z71" s="18">
        <f>ABS(J71 - Y71)</f>
        <v/>
      </c>
      <c r="AA71" s="18">
        <f>IF(Y71="", 0, IF(Y71&gt;J71, (Y71-J71)*2700000, 0))</f>
        <v/>
      </c>
      <c r="AB71" s="18">
        <f>IF(Y71="", 0, IF(J71&gt;Y71, (J71-Y71)*6000000, 0))</f>
        <v/>
      </c>
      <c r="AC71" s="18">
        <f>AA71 + AB71</f>
        <v/>
      </c>
      <c r="AD71" s="18">
        <f>ABS(V71 - J71)</f>
        <v/>
      </c>
      <c r="AE71" s="18">
        <f>IF(V71&gt;J71, (V71-J71)*2700000, 0)</f>
        <v/>
      </c>
      <c r="AF71" s="18">
        <f>IF(J71&gt;V71, (J71-V71)*6000000, 0)</f>
        <v/>
      </c>
      <c r="AG71" s="18">
        <f>AE71 + AF71 + T71</f>
        <v/>
      </c>
    </row>
    <row r="72">
      <c r="A72" s="14" t="inlineStr">
        <is>
          <t>Ngày 70 (09/07)</t>
        </is>
      </c>
      <c r="B72" s="15" t="n">
        <v>30.2</v>
      </c>
      <c r="C72" s="15" t="n">
        <v>27.3</v>
      </c>
      <c r="D72" s="16" t="n">
        <v>0.505</v>
      </c>
      <c r="E72" s="17" t="n">
        <v>213.1</v>
      </c>
      <c r="F72" s="18" t="n">
        <v>1</v>
      </c>
      <c r="G72" s="19" t="n">
        <v>173.7</v>
      </c>
      <c r="H72" s="19">
        <f>G72*IF(F72=1, 0.85, 0.8)</f>
        <v/>
      </c>
      <c r="I72" s="14" t="inlineStr">
        <is>
          <t>2-4</t>
        </is>
      </c>
      <c r="J72" s="18">
        <f>INT(H72/(18*0.96))</f>
        <v/>
      </c>
      <c r="K72" s="19">
        <f>MAX(15, ROUND(TREND(G$3:G$94, E$3:E$94, E72), 1))</f>
        <v/>
      </c>
      <c r="L72" s="19">
        <f>MAX(15, ROUND(TREND(G$3:G$94, B$3:E$94, B72:E72), 1))</f>
        <v/>
      </c>
      <c r="M72" s="19">
        <f>MAX(15, ROUND(TREND(G$3:G$94, B$3:F$94, B72:F72), 1))</f>
        <v/>
      </c>
      <c r="N72" s="19">
        <f>M72*IF(F72=1, 0.85, 0.8)</f>
        <v/>
      </c>
      <c r="O72" s="18">
        <f>MAX(0, INT(N72/(18*0.96)))</f>
        <v/>
      </c>
      <c r="P72" s="18">
        <f>MAX(0, ROUND(O72*70%, 0))</f>
        <v/>
      </c>
      <c r="Q72" s="18">
        <f>MAX(0, MIN(ROUNDUP(O72*0.2, 0), MAX(0, O72 - P72)))</f>
        <v/>
      </c>
      <c r="R72" s="14">
        <f>IF(C72&gt;20, "Hủy slot (Mưa &gt; 20mm)", "Kích hoạt")</f>
        <v/>
      </c>
      <c r="S72" s="18">
        <f>IF(C72&gt;20, 0, Q72)</f>
        <v/>
      </c>
      <c r="T72" s="18">
        <f>IF(C72&gt;20, Q72*0.2*W72, 0)</f>
        <v/>
      </c>
      <c r="U72" s="18">
        <f>MAX(0, J72 - P72 - S72)</f>
        <v/>
      </c>
      <c r="V72" s="18">
        <f>P72 + S72 + U72</f>
        <v/>
      </c>
      <c r="W72" s="18">
        <f>IF(OR(B72&gt;=34, F72=1), 11700000, 9000000)</f>
        <v/>
      </c>
      <c r="X72" s="17" t="n">
        <v>0.02</v>
      </c>
      <c r="Y72" s="18">
        <f>AVERAGE(J69:J71)</f>
        <v/>
      </c>
      <c r="Z72" s="18">
        <f>ABS(J72 - Y72)</f>
        <v/>
      </c>
      <c r="AA72" s="18">
        <f>IF(Y72="", 0, IF(Y72&gt;J72, (Y72-J72)*2700000, 0))</f>
        <v/>
      </c>
      <c r="AB72" s="18">
        <f>IF(Y72="", 0, IF(J72&gt;Y72, (J72-Y72)*6000000, 0))</f>
        <v/>
      </c>
      <c r="AC72" s="18">
        <f>AA72 + AB72</f>
        <v/>
      </c>
      <c r="AD72" s="18">
        <f>ABS(V72 - J72)</f>
        <v/>
      </c>
      <c r="AE72" s="18">
        <f>IF(V72&gt;J72, (V72-J72)*2700000, 0)</f>
        <v/>
      </c>
      <c r="AF72" s="18">
        <f>IF(J72&gt;V72, (J72-V72)*6000000, 0)</f>
        <v/>
      </c>
      <c r="AG72" s="18">
        <f>AE72 + AF72 + T72</f>
        <v/>
      </c>
    </row>
    <row r="73">
      <c r="A73" s="14" t="inlineStr">
        <is>
          <t>Ngày 71 (10/07)</t>
        </is>
      </c>
      <c r="B73" s="15" t="n">
        <v>31.9</v>
      </c>
      <c r="C73" s="15" t="n">
        <v>6.5</v>
      </c>
      <c r="D73" s="16" t="n">
        <v>0.479</v>
      </c>
      <c r="E73" s="17" t="n">
        <v>204.8</v>
      </c>
      <c r="F73" s="18" t="n">
        <v>1</v>
      </c>
      <c r="G73" s="19" t="n">
        <v>216.2</v>
      </c>
      <c r="H73" s="19">
        <f>G73*IF(F73=1, 0.85, 0.8)</f>
        <v/>
      </c>
      <c r="I73" s="14" t="inlineStr">
        <is>
          <t>2-4</t>
        </is>
      </c>
      <c r="J73" s="18">
        <f>INT(H73/(18*0.96))</f>
        <v/>
      </c>
      <c r="K73" s="19">
        <f>MAX(15, ROUND(TREND(G$3:G$94, E$3:E$94, E73), 1))</f>
        <v/>
      </c>
      <c r="L73" s="19">
        <f>MAX(15, ROUND(TREND(G$3:G$94, B$3:E$94, B73:E73), 1))</f>
        <v/>
      </c>
      <c r="M73" s="19">
        <f>MAX(15, ROUND(TREND(G$3:G$94, B$3:F$94, B73:F73), 1))</f>
        <v/>
      </c>
      <c r="N73" s="19">
        <f>M73*IF(F73=1, 0.85, 0.8)</f>
        <v/>
      </c>
      <c r="O73" s="18">
        <f>MAX(0, INT(N73/(18*0.96)))</f>
        <v/>
      </c>
      <c r="P73" s="18">
        <f>MAX(0, ROUND(O73*70%, 0))</f>
        <v/>
      </c>
      <c r="Q73" s="18">
        <f>MAX(0, MIN(ROUNDUP(O73*0.2, 0), MAX(0, O73 - P73)))</f>
        <v/>
      </c>
      <c r="R73" s="14">
        <f>IF(C73&gt;20, "Hủy slot (Mưa &gt; 20mm)", "Kích hoạt")</f>
        <v/>
      </c>
      <c r="S73" s="18">
        <f>IF(C73&gt;20, 0, Q73)</f>
        <v/>
      </c>
      <c r="T73" s="18">
        <f>IF(C73&gt;20, Q73*0.2*W73, 0)</f>
        <v/>
      </c>
      <c r="U73" s="18">
        <f>MAX(0, J73 - P73 - S73)</f>
        <v/>
      </c>
      <c r="V73" s="18">
        <f>P73 + S73 + U73</f>
        <v/>
      </c>
      <c r="W73" s="18">
        <f>IF(OR(B73&gt;=34, F73=1), 11700000, 9000000)</f>
        <v/>
      </c>
      <c r="X73" s="17" t="n">
        <v>0.02</v>
      </c>
      <c r="Y73" s="18">
        <f>AVERAGE(J70:J72)</f>
        <v/>
      </c>
      <c r="Z73" s="18">
        <f>ABS(J73 - Y73)</f>
        <v/>
      </c>
      <c r="AA73" s="18">
        <f>IF(Y73="", 0, IF(Y73&gt;J73, (Y73-J73)*2700000, 0))</f>
        <v/>
      </c>
      <c r="AB73" s="18">
        <f>IF(Y73="", 0, IF(J73&gt;Y73, (J73-Y73)*6000000, 0))</f>
        <v/>
      </c>
      <c r="AC73" s="18">
        <f>AA73 + AB73</f>
        <v/>
      </c>
      <c r="AD73" s="18">
        <f>ABS(V73 - J73)</f>
        <v/>
      </c>
      <c r="AE73" s="18">
        <f>IF(V73&gt;J73, (V73-J73)*2700000, 0)</f>
        <v/>
      </c>
      <c r="AF73" s="18">
        <f>IF(J73&gt;V73, (J73-V73)*6000000, 0)</f>
        <v/>
      </c>
      <c r="AG73" s="18">
        <f>AE73 + AF73 + T73</f>
        <v/>
      </c>
    </row>
    <row r="74">
      <c r="A74" s="14" t="inlineStr">
        <is>
          <t>Ngày 72 (11/07)</t>
        </is>
      </c>
      <c r="B74" s="15" t="n">
        <v>31.9</v>
      </c>
      <c r="C74" s="15" t="n">
        <v>3.4</v>
      </c>
      <c r="D74" s="16" t="n">
        <v>0.44</v>
      </c>
      <c r="E74" s="17" t="n">
        <v>157.1</v>
      </c>
      <c r="F74" s="18" t="n">
        <v>0</v>
      </c>
      <c r="G74" s="19" t="n">
        <v>169.4</v>
      </c>
      <c r="H74" s="19">
        <f>G74*IF(F74=1, 0.85, 0.8)</f>
        <v/>
      </c>
      <c r="I74" s="14" t="inlineStr">
        <is>
          <t>2-4</t>
        </is>
      </c>
      <c r="J74" s="18">
        <f>INT(H74/(18*0.96))</f>
        <v/>
      </c>
      <c r="K74" s="19">
        <f>MAX(15, ROUND(TREND(G$3:G$94, E$3:E$94, E74), 1))</f>
        <v/>
      </c>
      <c r="L74" s="19">
        <f>MAX(15, ROUND(TREND(G$3:G$94, B$3:E$94, B74:E74), 1))</f>
        <v/>
      </c>
      <c r="M74" s="19">
        <f>MAX(15, ROUND(TREND(G$3:G$94, B$3:F$94, B74:F74), 1))</f>
        <v/>
      </c>
      <c r="N74" s="19">
        <f>M74*IF(F74=1, 0.85, 0.8)</f>
        <v/>
      </c>
      <c r="O74" s="18">
        <f>MAX(0, INT(N74/(18*0.96)))</f>
        <v/>
      </c>
      <c r="P74" s="18">
        <f>MAX(0, ROUND(O74*70%, 0))</f>
        <v/>
      </c>
      <c r="Q74" s="18">
        <f>MAX(0, MIN(ROUNDUP(O74*0.2, 0), MAX(0, O74 - P74)))</f>
        <v/>
      </c>
      <c r="R74" s="14">
        <f>IF(C74&gt;20, "Hủy slot (Mưa &gt; 20mm)", "Kích hoạt")</f>
        <v/>
      </c>
      <c r="S74" s="18">
        <f>IF(C74&gt;20, 0, Q74)</f>
        <v/>
      </c>
      <c r="T74" s="18">
        <f>IF(C74&gt;20, Q74*0.2*W74, 0)</f>
        <v/>
      </c>
      <c r="U74" s="18">
        <f>MAX(0, J74 - P74 - S74)</f>
        <v/>
      </c>
      <c r="V74" s="18">
        <f>P74 + S74 + U74</f>
        <v/>
      </c>
      <c r="W74" s="18">
        <f>IF(OR(B74&gt;=34, F74=1), 11700000, 9000000)</f>
        <v/>
      </c>
      <c r="X74" s="17" t="n">
        <v>0.02</v>
      </c>
      <c r="Y74" s="18">
        <f>AVERAGE(J71:J73)</f>
        <v/>
      </c>
      <c r="Z74" s="18">
        <f>ABS(J74 - Y74)</f>
        <v/>
      </c>
      <c r="AA74" s="18">
        <f>IF(Y74="", 0, IF(Y74&gt;J74, (Y74-J74)*2700000, 0))</f>
        <v/>
      </c>
      <c r="AB74" s="18">
        <f>IF(Y74="", 0, IF(J74&gt;Y74, (J74-Y74)*6000000, 0))</f>
        <v/>
      </c>
      <c r="AC74" s="18">
        <f>AA74 + AB74</f>
        <v/>
      </c>
      <c r="AD74" s="18">
        <f>ABS(V74 - J74)</f>
        <v/>
      </c>
      <c r="AE74" s="18">
        <f>IF(V74&gt;J74, (V74-J74)*2700000, 0)</f>
        <v/>
      </c>
      <c r="AF74" s="18">
        <f>IF(J74&gt;V74, (J74-V74)*6000000, 0)</f>
        <v/>
      </c>
      <c r="AG74" s="18">
        <f>AE74 + AF74 + T74</f>
        <v/>
      </c>
    </row>
    <row r="75">
      <c r="A75" s="14" t="inlineStr">
        <is>
          <t>Ngày 73 (12/07)</t>
        </is>
      </c>
      <c r="B75" s="15" t="n">
        <v>32.9</v>
      </c>
      <c r="C75" s="15" t="n">
        <v>2.6</v>
      </c>
      <c r="D75" s="16" t="n">
        <v>0.42</v>
      </c>
      <c r="E75" s="17" t="n">
        <v>161.5</v>
      </c>
      <c r="F75" s="18" t="n">
        <v>0</v>
      </c>
      <c r="G75" s="19" t="n">
        <v>166.1</v>
      </c>
      <c r="H75" s="19">
        <f>G75*IF(F75=1, 0.85, 0.8)</f>
        <v/>
      </c>
      <c r="I75" s="14" t="inlineStr">
        <is>
          <t>2-4</t>
        </is>
      </c>
      <c r="J75" s="18">
        <f>INT(H75/(18*0.96))</f>
        <v/>
      </c>
      <c r="K75" s="19">
        <f>MAX(15, ROUND(TREND(G$3:G$94, E$3:E$94, E75), 1))</f>
        <v/>
      </c>
      <c r="L75" s="19">
        <f>MAX(15, ROUND(TREND(G$3:G$94, B$3:E$94, B75:E75), 1))</f>
        <v/>
      </c>
      <c r="M75" s="19">
        <f>MAX(15, ROUND(TREND(G$3:G$94, B$3:F$94, B75:F75), 1))</f>
        <v/>
      </c>
      <c r="N75" s="19">
        <f>M75*IF(F75=1, 0.85, 0.8)</f>
        <v/>
      </c>
      <c r="O75" s="18">
        <f>MAX(0, INT(N75/(18*0.96)))</f>
        <v/>
      </c>
      <c r="P75" s="18">
        <f>MAX(0, ROUND(O75*70%, 0))</f>
        <v/>
      </c>
      <c r="Q75" s="18">
        <f>MAX(0, MIN(ROUNDUP(O75*0.2, 0), MAX(0, O75 - P75)))</f>
        <v/>
      </c>
      <c r="R75" s="14">
        <f>IF(C75&gt;20, "Hủy slot (Mưa &gt; 20mm)", "Kích hoạt")</f>
        <v/>
      </c>
      <c r="S75" s="18">
        <f>IF(C75&gt;20, 0, Q75)</f>
        <v/>
      </c>
      <c r="T75" s="18">
        <f>IF(C75&gt;20, Q75*0.2*W75, 0)</f>
        <v/>
      </c>
      <c r="U75" s="18">
        <f>MAX(0, J75 - P75 - S75)</f>
        <v/>
      </c>
      <c r="V75" s="18">
        <f>P75 + S75 + U75</f>
        <v/>
      </c>
      <c r="W75" s="18">
        <f>IF(OR(B75&gt;=34, F75=1), 11700000, 9000000)</f>
        <v/>
      </c>
      <c r="X75" s="17" t="n">
        <v>0.02</v>
      </c>
      <c r="Y75" s="18">
        <f>AVERAGE(J72:J74)</f>
        <v/>
      </c>
      <c r="Z75" s="18">
        <f>ABS(J75 - Y75)</f>
        <v/>
      </c>
      <c r="AA75" s="18">
        <f>IF(Y75="", 0, IF(Y75&gt;J75, (Y75-J75)*2700000, 0))</f>
        <v/>
      </c>
      <c r="AB75" s="18">
        <f>IF(Y75="", 0, IF(J75&gt;Y75, (J75-Y75)*6000000, 0))</f>
        <v/>
      </c>
      <c r="AC75" s="18">
        <f>AA75 + AB75</f>
        <v/>
      </c>
      <c r="AD75" s="18">
        <f>ABS(V75 - J75)</f>
        <v/>
      </c>
      <c r="AE75" s="18">
        <f>IF(V75&gt;J75, (V75-J75)*2700000, 0)</f>
        <v/>
      </c>
      <c r="AF75" s="18">
        <f>IF(J75&gt;V75, (J75-V75)*6000000, 0)</f>
        <v/>
      </c>
      <c r="AG75" s="18">
        <f>AE75 + AF75 + T75</f>
        <v/>
      </c>
    </row>
    <row r="76">
      <c r="A76" s="14" t="inlineStr">
        <is>
          <t>Ngày 74 (13/07)</t>
        </is>
      </c>
      <c r="B76" s="15" t="n">
        <v>33.1</v>
      </c>
      <c r="C76" s="15" t="n">
        <v>2.2</v>
      </c>
      <c r="D76" s="16" t="n">
        <v>0.391</v>
      </c>
      <c r="E76" s="17" t="n">
        <v>155.3</v>
      </c>
      <c r="F76" s="18" t="n">
        <v>0</v>
      </c>
      <c r="G76" s="19" t="n">
        <v>158.9</v>
      </c>
      <c r="H76" s="19">
        <f>G76*IF(F76=1, 0.85, 0.8)</f>
        <v/>
      </c>
      <c r="I76" s="14" t="inlineStr">
        <is>
          <t>2-4</t>
        </is>
      </c>
      <c r="J76" s="18">
        <f>INT(H76/(18*0.96))</f>
        <v/>
      </c>
      <c r="K76" s="19">
        <f>MAX(15, ROUND(TREND(G$3:G$94, E$3:E$94, E76), 1))</f>
        <v/>
      </c>
      <c r="L76" s="19">
        <f>MAX(15, ROUND(TREND(G$3:G$94, B$3:E$94, B76:E76), 1))</f>
        <v/>
      </c>
      <c r="M76" s="19">
        <f>MAX(15, ROUND(TREND(G$3:G$94, B$3:F$94, B76:F76), 1))</f>
        <v/>
      </c>
      <c r="N76" s="19">
        <f>M76*IF(F76=1, 0.85, 0.8)</f>
        <v/>
      </c>
      <c r="O76" s="18">
        <f>MAX(0, INT(N76/(18*0.96)))</f>
        <v/>
      </c>
      <c r="P76" s="18">
        <f>MAX(0, ROUND(O76*70%, 0))</f>
        <v/>
      </c>
      <c r="Q76" s="18">
        <f>MAX(0, MIN(ROUNDUP(O76*0.2, 0), MAX(0, O76 - P76)))</f>
        <v/>
      </c>
      <c r="R76" s="14">
        <f>IF(C76&gt;20, "Hủy slot (Mưa &gt; 20mm)", "Kích hoạt")</f>
        <v/>
      </c>
      <c r="S76" s="18">
        <f>IF(C76&gt;20, 0, Q76)</f>
        <v/>
      </c>
      <c r="T76" s="18">
        <f>IF(C76&gt;20, Q76*0.2*W76, 0)</f>
        <v/>
      </c>
      <c r="U76" s="18">
        <f>MAX(0, J76 - P76 - S76)</f>
        <v/>
      </c>
      <c r="V76" s="18">
        <f>P76 + S76 + U76</f>
        <v/>
      </c>
      <c r="W76" s="18">
        <f>IF(OR(B76&gt;=34, F76=1), 11700000, 9000000)</f>
        <v/>
      </c>
      <c r="X76" s="17" t="n">
        <v>0.02</v>
      </c>
      <c r="Y76" s="18">
        <f>AVERAGE(J73:J75)</f>
        <v/>
      </c>
      <c r="Z76" s="18">
        <f>ABS(J76 - Y76)</f>
        <v/>
      </c>
      <c r="AA76" s="18">
        <f>IF(Y76="", 0, IF(Y76&gt;J76, (Y76-J76)*2700000, 0))</f>
        <v/>
      </c>
      <c r="AB76" s="18">
        <f>IF(Y76="", 0, IF(J76&gt;Y76, (J76-Y76)*6000000, 0))</f>
        <v/>
      </c>
      <c r="AC76" s="18">
        <f>AA76 + AB76</f>
        <v/>
      </c>
      <c r="AD76" s="18">
        <f>ABS(V76 - J76)</f>
        <v/>
      </c>
      <c r="AE76" s="18">
        <f>IF(V76&gt;J76, (V76-J76)*2700000, 0)</f>
        <v/>
      </c>
      <c r="AF76" s="18">
        <f>IF(J76&gt;V76, (J76-V76)*6000000, 0)</f>
        <v/>
      </c>
      <c r="AG76" s="18">
        <f>AE76 + AF76 + T76</f>
        <v/>
      </c>
    </row>
    <row r="77">
      <c r="A77" s="14" t="inlineStr">
        <is>
          <t>Ngày 75 (14/07)</t>
        </is>
      </c>
      <c r="B77" s="15" t="n">
        <v>34.3</v>
      </c>
      <c r="C77" s="15" t="n">
        <v>0.5</v>
      </c>
      <c r="D77" s="16" t="n">
        <v>0.384</v>
      </c>
      <c r="E77" s="17" t="n">
        <v>132.7</v>
      </c>
      <c r="F77" s="18" t="n">
        <v>0</v>
      </c>
      <c r="G77" s="19" t="n">
        <v>151.7</v>
      </c>
      <c r="H77" s="19">
        <f>G77*IF(F77=1, 0.85, 0.8)</f>
        <v/>
      </c>
      <c r="I77" s="14" t="inlineStr">
        <is>
          <t>2-4</t>
        </is>
      </c>
      <c r="J77" s="18">
        <f>INT(H77/(18*0.96))</f>
        <v/>
      </c>
      <c r="K77" s="19">
        <f>MAX(15, ROUND(TREND(G$3:G$94, E$3:E$94, E77), 1))</f>
        <v/>
      </c>
      <c r="L77" s="19">
        <f>MAX(15, ROUND(TREND(G$3:G$94, B$3:E$94, B77:E77), 1))</f>
        <v/>
      </c>
      <c r="M77" s="19">
        <f>MAX(15, ROUND(TREND(G$3:G$94, B$3:F$94, B77:F77), 1))</f>
        <v/>
      </c>
      <c r="N77" s="19">
        <f>M77*IF(F77=1, 0.85, 0.8)</f>
        <v/>
      </c>
      <c r="O77" s="18">
        <f>MAX(0, INT(N77/(18*0.96)))</f>
        <v/>
      </c>
      <c r="P77" s="18">
        <f>MAX(0, ROUND(O77*70%, 0))</f>
        <v/>
      </c>
      <c r="Q77" s="18">
        <f>MAX(0, MIN(ROUNDUP(O77*0.2, 0), MAX(0, O77 - P77)))</f>
        <v/>
      </c>
      <c r="R77" s="14">
        <f>IF(C77&gt;20, "Hủy slot (Mưa &gt; 20mm)", "Kích hoạt")</f>
        <v/>
      </c>
      <c r="S77" s="18">
        <f>IF(C77&gt;20, 0, Q77)</f>
        <v/>
      </c>
      <c r="T77" s="18">
        <f>IF(C77&gt;20, Q77*0.2*W77, 0)</f>
        <v/>
      </c>
      <c r="U77" s="18">
        <f>MAX(0, J77 - P77 - S77)</f>
        <v/>
      </c>
      <c r="V77" s="18">
        <f>P77 + S77 + U77</f>
        <v/>
      </c>
      <c r="W77" s="18">
        <f>IF(OR(B77&gt;=34, F77=1), 11700000, 9000000)</f>
        <v/>
      </c>
      <c r="X77" s="17" t="n">
        <v>0.02</v>
      </c>
      <c r="Y77" s="18">
        <f>AVERAGE(J74:J76)</f>
        <v/>
      </c>
      <c r="Z77" s="18">
        <f>ABS(J77 - Y77)</f>
        <v/>
      </c>
      <c r="AA77" s="18">
        <f>IF(Y77="", 0, IF(Y77&gt;J77, (Y77-J77)*2700000, 0))</f>
        <v/>
      </c>
      <c r="AB77" s="18">
        <f>IF(Y77="", 0, IF(J77&gt;Y77, (J77-Y77)*6000000, 0))</f>
        <v/>
      </c>
      <c r="AC77" s="18">
        <f>AA77 + AB77</f>
        <v/>
      </c>
      <c r="AD77" s="18">
        <f>ABS(V77 - J77)</f>
        <v/>
      </c>
      <c r="AE77" s="18">
        <f>IF(V77&gt;J77, (V77-J77)*2700000, 0)</f>
        <v/>
      </c>
      <c r="AF77" s="18">
        <f>IF(J77&gt;V77, (J77-V77)*6000000, 0)</f>
        <v/>
      </c>
      <c r="AG77" s="18">
        <f>AE77 + AF77 + T77</f>
        <v/>
      </c>
    </row>
    <row r="78">
      <c r="A78" s="14" t="inlineStr">
        <is>
          <t>Ngày 76 (15/07)</t>
        </is>
      </c>
      <c r="B78" s="15" t="n">
        <v>33.2</v>
      </c>
      <c r="C78" s="15" t="n">
        <v>2.9</v>
      </c>
      <c r="D78" s="16" t="n">
        <v>0.375</v>
      </c>
      <c r="E78" s="17" t="n">
        <v>133</v>
      </c>
      <c r="F78" s="18" t="n">
        <v>0</v>
      </c>
      <c r="G78" s="19" t="n">
        <v>152.6</v>
      </c>
      <c r="H78" s="19">
        <f>G78*IF(F78=1, 0.85, 0.8)</f>
        <v/>
      </c>
      <c r="I78" s="14" t="inlineStr">
        <is>
          <t>2-4</t>
        </is>
      </c>
      <c r="J78" s="18">
        <f>INT(H78/(18*0.96))</f>
        <v/>
      </c>
      <c r="K78" s="19">
        <f>MAX(15, ROUND(TREND(G$3:G$94, E$3:E$94, E78), 1))</f>
        <v/>
      </c>
      <c r="L78" s="19">
        <f>MAX(15, ROUND(TREND(G$3:G$94, B$3:E$94, B78:E78), 1))</f>
        <v/>
      </c>
      <c r="M78" s="19">
        <f>MAX(15, ROUND(TREND(G$3:G$94, B$3:F$94, B78:F78), 1))</f>
        <v/>
      </c>
      <c r="N78" s="19">
        <f>M78*IF(F78=1, 0.85, 0.8)</f>
        <v/>
      </c>
      <c r="O78" s="18">
        <f>MAX(0, INT(N78/(18*0.96)))</f>
        <v/>
      </c>
      <c r="P78" s="18">
        <f>MAX(0, ROUND(O78*70%, 0))</f>
        <v/>
      </c>
      <c r="Q78" s="18">
        <f>MAX(0, MIN(ROUNDUP(O78*0.2, 0), MAX(0, O78 - P78)))</f>
        <v/>
      </c>
      <c r="R78" s="14">
        <f>IF(C78&gt;20, "Hủy slot (Mưa &gt; 20mm)", "Kích hoạt")</f>
        <v/>
      </c>
      <c r="S78" s="18">
        <f>IF(C78&gt;20, 0, Q78)</f>
        <v/>
      </c>
      <c r="T78" s="18">
        <f>IF(C78&gt;20, Q78*0.2*W78, 0)</f>
        <v/>
      </c>
      <c r="U78" s="18">
        <f>MAX(0, J78 - P78 - S78)</f>
        <v/>
      </c>
      <c r="V78" s="18">
        <f>P78 + S78 + U78</f>
        <v/>
      </c>
      <c r="W78" s="18">
        <f>IF(OR(B78&gt;=34, F78=1), 11700000, 9000000)</f>
        <v/>
      </c>
      <c r="X78" s="17" t="n">
        <v>0.02</v>
      </c>
      <c r="Y78" s="18">
        <f>AVERAGE(J75:J77)</f>
        <v/>
      </c>
      <c r="Z78" s="18">
        <f>ABS(J78 - Y78)</f>
        <v/>
      </c>
      <c r="AA78" s="18">
        <f>IF(Y78="", 0, IF(Y78&gt;J78, (Y78-J78)*2700000, 0))</f>
        <v/>
      </c>
      <c r="AB78" s="18">
        <f>IF(Y78="", 0, IF(J78&gt;Y78, (J78-Y78)*6000000, 0))</f>
        <v/>
      </c>
      <c r="AC78" s="18">
        <f>AA78 + AB78</f>
        <v/>
      </c>
      <c r="AD78" s="18">
        <f>ABS(V78 - J78)</f>
        <v/>
      </c>
      <c r="AE78" s="18">
        <f>IF(V78&gt;J78, (V78-J78)*2700000, 0)</f>
        <v/>
      </c>
      <c r="AF78" s="18">
        <f>IF(J78&gt;V78, (J78-V78)*6000000, 0)</f>
        <v/>
      </c>
      <c r="AG78" s="18">
        <f>AE78 + AF78 + T78</f>
        <v/>
      </c>
    </row>
    <row r="79">
      <c r="A79" s="14" t="inlineStr">
        <is>
          <t>Ngày 77 (16/07)</t>
        </is>
      </c>
      <c r="B79" s="15" t="n">
        <v>32.4</v>
      </c>
      <c r="C79" s="15" t="n">
        <v>3.7</v>
      </c>
      <c r="D79" s="16" t="n">
        <v>0.331</v>
      </c>
      <c r="E79" s="17" t="n">
        <v>165.8</v>
      </c>
      <c r="F79" s="18" t="n">
        <v>1</v>
      </c>
      <c r="G79" s="19" t="n">
        <v>182.4</v>
      </c>
      <c r="H79" s="19">
        <f>G79*IF(F79=1, 0.85, 0.8)</f>
        <v/>
      </c>
      <c r="I79" s="14" t="inlineStr">
        <is>
          <t>2-4</t>
        </is>
      </c>
      <c r="J79" s="18">
        <f>INT(H79/(18*0.96))</f>
        <v/>
      </c>
      <c r="K79" s="19">
        <f>MAX(15, ROUND(TREND(G$3:G$94, E$3:E$94, E79), 1))</f>
        <v/>
      </c>
      <c r="L79" s="19">
        <f>MAX(15, ROUND(TREND(G$3:G$94, B$3:E$94, B79:E79), 1))</f>
        <v/>
      </c>
      <c r="M79" s="19">
        <f>MAX(15, ROUND(TREND(G$3:G$94, B$3:F$94, B79:F79), 1))</f>
        <v/>
      </c>
      <c r="N79" s="19">
        <f>M79*IF(F79=1, 0.85, 0.8)</f>
        <v/>
      </c>
      <c r="O79" s="18">
        <f>MAX(0, INT(N79/(18*0.96)))</f>
        <v/>
      </c>
      <c r="P79" s="18">
        <f>MAX(0, ROUND(O79*70%, 0))</f>
        <v/>
      </c>
      <c r="Q79" s="18">
        <f>MAX(0, MIN(ROUNDUP(O79*0.2, 0), MAX(0, O79 - P79)))</f>
        <v/>
      </c>
      <c r="R79" s="14">
        <f>IF(C79&gt;20, "Hủy slot (Mưa &gt; 20mm)", "Kích hoạt")</f>
        <v/>
      </c>
      <c r="S79" s="18">
        <f>IF(C79&gt;20, 0, Q79)</f>
        <v/>
      </c>
      <c r="T79" s="18">
        <f>IF(C79&gt;20, Q79*0.2*W79, 0)</f>
        <v/>
      </c>
      <c r="U79" s="18">
        <f>MAX(0, J79 - P79 - S79)</f>
        <v/>
      </c>
      <c r="V79" s="18">
        <f>P79 + S79 + U79</f>
        <v/>
      </c>
      <c r="W79" s="18">
        <f>IF(OR(B79&gt;=34, F79=1), 11700000, 9000000)</f>
        <v/>
      </c>
      <c r="X79" s="17" t="n">
        <v>0.02</v>
      </c>
      <c r="Y79" s="18">
        <f>AVERAGE(J76:J78)</f>
        <v/>
      </c>
      <c r="Z79" s="18">
        <f>ABS(J79 - Y79)</f>
        <v/>
      </c>
      <c r="AA79" s="18">
        <f>IF(Y79="", 0, IF(Y79&gt;J79, (Y79-J79)*2700000, 0))</f>
        <v/>
      </c>
      <c r="AB79" s="18">
        <f>IF(Y79="", 0, IF(J79&gt;Y79, (J79-Y79)*6000000, 0))</f>
        <v/>
      </c>
      <c r="AC79" s="18">
        <f>AA79 + AB79</f>
        <v/>
      </c>
      <c r="AD79" s="18">
        <f>ABS(V79 - J79)</f>
        <v/>
      </c>
      <c r="AE79" s="18">
        <f>IF(V79&gt;J79, (V79-J79)*2700000, 0)</f>
        <v/>
      </c>
      <c r="AF79" s="18">
        <f>IF(J79&gt;V79, (J79-V79)*6000000, 0)</f>
        <v/>
      </c>
      <c r="AG79" s="18">
        <f>AE79 + AF79 + T79</f>
        <v/>
      </c>
    </row>
    <row r="80">
      <c r="A80" s="14" t="inlineStr">
        <is>
          <t>Ngày 78 (17/07)</t>
        </is>
      </c>
      <c r="B80" s="15" t="n">
        <v>32.5</v>
      </c>
      <c r="C80" s="15" t="n">
        <v>2.4</v>
      </c>
      <c r="D80" s="16" t="n">
        <v>0.331</v>
      </c>
      <c r="E80" s="17" t="n">
        <v>140.5</v>
      </c>
      <c r="F80" s="18" t="n">
        <v>1</v>
      </c>
      <c r="G80" s="19" t="n">
        <v>155.6</v>
      </c>
      <c r="H80" s="19">
        <f>G80*IF(F80=1, 0.85, 0.8)</f>
        <v/>
      </c>
      <c r="I80" s="14" t="inlineStr">
        <is>
          <t>2-4</t>
        </is>
      </c>
      <c r="J80" s="18">
        <f>INT(H80/(18*0.96))</f>
        <v/>
      </c>
      <c r="K80" s="19">
        <f>MAX(15, ROUND(TREND(G$3:G$94, E$3:E$94, E80), 1))</f>
        <v/>
      </c>
      <c r="L80" s="19">
        <f>MAX(15, ROUND(TREND(G$3:G$94, B$3:E$94, B80:E80), 1))</f>
        <v/>
      </c>
      <c r="M80" s="19">
        <f>MAX(15, ROUND(TREND(G$3:G$94, B$3:F$94, B80:F80), 1))</f>
        <v/>
      </c>
      <c r="N80" s="19">
        <f>M80*IF(F80=1, 0.85, 0.8)</f>
        <v/>
      </c>
      <c r="O80" s="18">
        <f>MAX(0, INT(N80/(18*0.96)))</f>
        <v/>
      </c>
      <c r="P80" s="18">
        <f>MAX(0, ROUND(O80*70%, 0))</f>
        <v/>
      </c>
      <c r="Q80" s="18">
        <f>MAX(0, MIN(ROUNDUP(O80*0.2, 0), MAX(0, O80 - P80)))</f>
        <v/>
      </c>
      <c r="R80" s="14">
        <f>IF(C80&gt;20, "Hủy slot (Mưa &gt; 20mm)", "Kích hoạt")</f>
        <v/>
      </c>
      <c r="S80" s="18">
        <f>IF(C80&gt;20, 0, Q80)</f>
        <v/>
      </c>
      <c r="T80" s="18">
        <f>IF(C80&gt;20, Q80*0.2*W80, 0)</f>
        <v/>
      </c>
      <c r="U80" s="18">
        <f>MAX(0, J80 - P80 - S80)</f>
        <v/>
      </c>
      <c r="V80" s="18">
        <f>P80 + S80 + U80</f>
        <v/>
      </c>
      <c r="W80" s="18">
        <f>IF(OR(B80&gt;=34, F80=1), 11700000, 9000000)</f>
        <v/>
      </c>
      <c r="X80" s="17" t="n">
        <v>0.02</v>
      </c>
      <c r="Y80" s="18">
        <f>AVERAGE(J77:J79)</f>
        <v/>
      </c>
      <c r="Z80" s="18">
        <f>ABS(J80 - Y80)</f>
        <v/>
      </c>
      <c r="AA80" s="18">
        <f>IF(Y80="", 0, IF(Y80&gt;J80, (Y80-J80)*2700000, 0))</f>
        <v/>
      </c>
      <c r="AB80" s="18">
        <f>IF(Y80="", 0, IF(J80&gt;Y80, (J80-Y80)*6000000, 0))</f>
        <v/>
      </c>
      <c r="AC80" s="18">
        <f>AA80 + AB80</f>
        <v/>
      </c>
      <c r="AD80" s="18">
        <f>ABS(V80 - J80)</f>
        <v/>
      </c>
      <c r="AE80" s="18">
        <f>IF(V80&gt;J80, (V80-J80)*2700000, 0)</f>
        <v/>
      </c>
      <c r="AF80" s="18">
        <f>IF(J80&gt;V80, (J80-V80)*6000000, 0)</f>
        <v/>
      </c>
      <c r="AG80" s="18">
        <f>AE80 + AF80 + T80</f>
        <v/>
      </c>
    </row>
    <row r="81">
      <c r="A81" s="14" t="inlineStr">
        <is>
          <t>Ngày 79 (18/07)</t>
        </is>
      </c>
      <c r="B81" s="15" t="n">
        <v>34</v>
      </c>
      <c r="C81" s="15" t="n">
        <v>1.8</v>
      </c>
      <c r="D81" s="16" t="n">
        <v>0.303</v>
      </c>
      <c r="E81" s="17" t="n">
        <v>113.1</v>
      </c>
      <c r="F81" s="18" t="n">
        <v>0</v>
      </c>
      <c r="G81" s="19" t="n">
        <v>122.2</v>
      </c>
      <c r="H81" s="19">
        <f>G81*IF(F81=1, 0.85, 0.8)</f>
        <v/>
      </c>
      <c r="I81" s="14" t="inlineStr">
        <is>
          <t>2-4</t>
        </is>
      </c>
      <c r="J81" s="18">
        <f>INT(H81/(18*0.96))</f>
        <v/>
      </c>
      <c r="K81" s="19">
        <f>MAX(15, ROUND(TREND(G$3:G$94, E$3:E$94, E81), 1))</f>
        <v/>
      </c>
      <c r="L81" s="19">
        <f>MAX(15, ROUND(TREND(G$3:G$94, B$3:E$94, B81:E81), 1))</f>
        <v/>
      </c>
      <c r="M81" s="19">
        <f>MAX(15, ROUND(TREND(G$3:G$94, B$3:F$94, B81:F81), 1))</f>
        <v/>
      </c>
      <c r="N81" s="19">
        <f>M81*IF(F81=1, 0.85, 0.8)</f>
        <v/>
      </c>
      <c r="O81" s="18">
        <f>MAX(0, INT(N81/(18*0.96)))</f>
        <v/>
      </c>
      <c r="P81" s="18">
        <f>MAX(0, ROUND(O81*70%, 0))</f>
        <v/>
      </c>
      <c r="Q81" s="18">
        <f>MAX(0, MIN(ROUNDUP(O81*0.2, 0), MAX(0, O81 - P81)))</f>
        <v/>
      </c>
      <c r="R81" s="14">
        <f>IF(C81&gt;20, "Hủy slot (Mưa &gt; 20mm)", "Kích hoạt")</f>
        <v/>
      </c>
      <c r="S81" s="18">
        <f>IF(C81&gt;20, 0, Q81)</f>
        <v/>
      </c>
      <c r="T81" s="18">
        <f>IF(C81&gt;20, Q81*0.2*W81, 0)</f>
        <v/>
      </c>
      <c r="U81" s="18">
        <f>MAX(0, J81 - P81 - S81)</f>
        <v/>
      </c>
      <c r="V81" s="18">
        <f>P81 + S81 + U81</f>
        <v/>
      </c>
      <c r="W81" s="18">
        <f>IF(OR(B81&gt;=34, F81=1), 11700000, 9000000)</f>
        <v/>
      </c>
      <c r="X81" s="17" t="n">
        <v>0.02</v>
      </c>
      <c r="Y81" s="18">
        <f>AVERAGE(J78:J80)</f>
        <v/>
      </c>
      <c r="Z81" s="18">
        <f>ABS(J81 - Y81)</f>
        <v/>
      </c>
      <c r="AA81" s="18">
        <f>IF(Y81="", 0, IF(Y81&gt;J81, (Y81-J81)*2700000, 0))</f>
        <v/>
      </c>
      <c r="AB81" s="18">
        <f>IF(Y81="", 0, IF(J81&gt;Y81, (J81-Y81)*6000000, 0))</f>
        <v/>
      </c>
      <c r="AC81" s="18">
        <f>AA81 + AB81</f>
        <v/>
      </c>
      <c r="AD81" s="18">
        <f>ABS(V81 - J81)</f>
        <v/>
      </c>
      <c r="AE81" s="18">
        <f>IF(V81&gt;J81, (V81-J81)*2700000, 0)</f>
        <v/>
      </c>
      <c r="AF81" s="18">
        <f>IF(J81&gt;V81, (J81-V81)*6000000, 0)</f>
        <v/>
      </c>
      <c r="AG81" s="18">
        <f>AE81 + AF81 + T81</f>
        <v/>
      </c>
    </row>
    <row r="82">
      <c r="A82" s="14" t="inlineStr">
        <is>
          <t>Ngày 80 (19/07)</t>
        </is>
      </c>
      <c r="B82" s="15" t="n">
        <v>31.7</v>
      </c>
      <c r="C82" s="15" t="n">
        <v>13.8</v>
      </c>
      <c r="D82" s="16" t="n">
        <v>0.276</v>
      </c>
      <c r="E82" s="17" t="n">
        <v>76.59999999999999</v>
      </c>
      <c r="F82" s="18" t="n">
        <v>0</v>
      </c>
      <c r="G82" s="19" t="n">
        <v>76.90000000000001</v>
      </c>
      <c r="H82" s="19">
        <f>G82*IF(F82=1, 0.85, 0.8)</f>
        <v/>
      </c>
      <c r="I82" s="14" t="inlineStr">
        <is>
          <t>2-4</t>
        </is>
      </c>
      <c r="J82" s="18">
        <f>INT(H82/(18*0.96))</f>
        <v/>
      </c>
      <c r="K82" s="19">
        <f>MAX(15, ROUND(TREND(G$3:G$94, E$3:E$94, E82), 1))</f>
        <v/>
      </c>
      <c r="L82" s="19">
        <f>MAX(15, ROUND(TREND(G$3:G$94, B$3:E$94, B82:E82), 1))</f>
        <v/>
      </c>
      <c r="M82" s="19">
        <f>MAX(15, ROUND(TREND(G$3:G$94, B$3:F$94, B82:F82), 1))</f>
        <v/>
      </c>
      <c r="N82" s="19">
        <f>M82*IF(F82=1, 0.85, 0.8)</f>
        <v/>
      </c>
      <c r="O82" s="18">
        <f>MAX(0, INT(N82/(18*0.96)))</f>
        <v/>
      </c>
      <c r="P82" s="18">
        <f>MAX(0, ROUND(O82*70%, 0))</f>
        <v/>
      </c>
      <c r="Q82" s="18">
        <f>MAX(0, MIN(ROUNDUP(O82*0.2, 0), MAX(0, O82 - P82)))</f>
        <v/>
      </c>
      <c r="R82" s="14">
        <f>IF(C82&gt;20, "Hủy slot (Mưa &gt; 20mm)", "Kích hoạt")</f>
        <v/>
      </c>
      <c r="S82" s="18">
        <f>IF(C82&gt;20, 0, Q82)</f>
        <v/>
      </c>
      <c r="T82" s="18">
        <f>IF(C82&gt;20, Q82*0.2*W82, 0)</f>
        <v/>
      </c>
      <c r="U82" s="18">
        <f>MAX(0, J82 - P82 - S82)</f>
        <v/>
      </c>
      <c r="V82" s="18">
        <f>P82 + S82 + U82</f>
        <v/>
      </c>
      <c r="W82" s="18">
        <f>IF(OR(B82&gt;=34, F82=1), 11700000, 9000000)</f>
        <v/>
      </c>
      <c r="X82" s="17" t="n">
        <v>0.02</v>
      </c>
      <c r="Y82" s="18">
        <f>AVERAGE(J79:J81)</f>
        <v/>
      </c>
      <c r="Z82" s="18">
        <f>ABS(J82 - Y82)</f>
        <v/>
      </c>
      <c r="AA82" s="18">
        <f>IF(Y82="", 0, IF(Y82&gt;J82, (Y82-J82)*2700000, 0))</f>
        <v/>
      </c>
      <c r="AB82" s="18">
        <f>IF(Y82="", 0, IF(J82&gt;Y82, (J82-Y82)*6000000, 0))</f>
        <v/>
      </c>
      <c r="AC82" s="18">
        <f>AA82 + AB82</f>
        <v/>
      </c>
      <c r="AD82" s="18">
        <f>ABS(V82 - J82)</f>
        <v/>
      </c>
      <c r="AE82" s="18">
        <f>IF(V82&gt;J82, (V82-J82)*2700000, 0)</f>
        <v/>
      </c>
      <c r="AF82" s="18">
        <f>IF(J82&gt;V82, (J82-V82)*6000000, 0)</f>
        <v/>
      </c>
      <c r="AG82" s="18">
        <f>AE82 + AF82 + T82</f>
        <v/>
      </c>
    </row>
    <row r="83">
      <c r="A83" s="14" t="inlineStr">
        <is>
          <t>Ngày 81 (20/07)</t>
        </is>
      </c>
      <c r="B83" s="15" t="n">
        <v>31.9</v>
      </c>
      <c r="C83" s="15" t="n">
        <v>1.2</v>
      </c>
      <c r="D83" s="16" t="n">
        <v>0.273</v>
      </c>
      <c r="E83" s="17" t="n">
        <v>80.7</v>
      </c>
      <c r="F83" s="18" t="n">
        <v>0</v>
      </c>
      <c r="G83" s="19" t="n">
        <v>94.09999999999999</v>
      </c>
      <c r="H83" s="19">
        <f>G83*IF(F83=1, 0.85, 0.8)</f>
        <v/>
      </c>
      <c r="I83" s="14" t="inlineStr">
        <is>
          <t>2-4</t>
        </is>
      </c>
      <c r="J83" s="18">
        <f>INT(H83/(18*0.96))</f>
        <v/>
      </c>
      <c r="K83" s="19">
        <f>MAX(15, ROUND(TREND(G$3:G$94, E$3:E$94, E83), 1))</f>
        <v/>
      </c>
      <c r="L83" s="19">
        <f>MAX(15, ROUND(TREND(G$3:G$94, B$3:E$94, B83:E83), 1))</f>
        <v/>
      </c>
      <c r="M83" s="19">
        <f>MAX(15, ROUND(TREND(G$3:G$94, B$3:F$94, B83:F83), 1))</f>
        <v/>
      </c>
      <c r="N83" s="19">
        <f>M83*IF(F83=1, 0.85, 0.8)</f>
        <v/>
      </c>
      <c r="O83" s="18">
        <f>MAX(0, INT(N83/(18*0.96)))</f>
        <v/>
      </c>
      <c r="P83" s="18">
        <f>MAX(0, ROUND(O83*70%, 0))</f>
        <v/>
      </c>
      <c r="Q83" s="18">
        <f>MAX(0, MIN(ROUNDUP(O83*0.2, 0), MAX(0, O83 - P83)))</f>
        <v/>
      </c>
      <c r="R83" s="14">
        <f>IF(C83&gt;20, "Hủy slot (Mưa &gt; 20mm)", "Kích hoạt")</f>
        <v/>
      </c>
      <c r="S83" s="18">
        <f>IF(C83&gt;20, 0, Q83)</f>
        <v/>
      </c>
      <c r="T83" s="18">
        <f>IF(C83&gt;20, Q83*0.2*W83, 0)</f>
        <v/>
      </c>
      <c r="U83" s="18">
        <f>MAX(0, J83 - P83 - S83)</f>
        <v/>
      </c>
      <c r="V83" s="18">
        <f>P83 + S83 + U83</f>
        <v/>
      </c>
      <c r="W83" s="18">
        <f>IF(OR(B83&gt;=34, F83=1), 11700000, 9000000)</f>
        <v/>
      </c>
      <c r="X83" s="17" t="n">
        <v>0.02</v>
      </c>
      <c r="Y83" s="18">
        <f>AVERAGE(J80:J82)</f>
        <v/>
      </c>
      <c r="Z83" s="18">
        <f>ABS(J83 - Y83)</f>
        <v/>
      </c>
      <c r="AA83" s="18">
        <f>IF(Y83="", 0, IF(Y83&gt;J83, (Y83-J83)*2700000, 0))</f>
        <v/>
      </c>
      <c r="AB83" s="18">
        <f>IF(Y83="", 0, IF(J83&gt;Y83, (J83-Y83)*6000000, 0))</f>
        <v/>
      </c>
      <c r="AC83" s="18">
        <f>AA83 + AB83</f>
        <v/>
      </c>
      <c r="AD83" s="18">
        <f>ABS(V83 - J83)</f>
        <v/>
      </c>
      <c r="AE83" s="18">
        <f>IF(V83&gt;J83, (V83-J83)*2700000, 0)</f>
        <v/>
      </c>
      <c r="AF83" s="18">
        <f>IF(J83&gt;V83, (J83-V83)*6000000, 0)</f>
        <v/>
      </c>
      <c r="AG83" s="18">
        <f>AE83 + AF83 + T83</f>
        <v/>
      </c>
    </row>
    <row r="84">
      <c r="A84" s="14" t="inlineStr">
        <is>
          <t>Ngày 82 (21/07)</t>
        </is>
      </c>
      <c r="B84" s="15" t="n">
        <v>30.1</v>
      </c>
      <c r="C84" s="15" t="n">
        <v>15.8</v>
      </c>
      <c r="D84" s="16" t="n">
        <v>0.243</v>
      </c>
      <c r="E84" s="17" t="n">
        <v>58.8</v>
      </c>
      <c r="F84" s="18" t="n">
        <v>0</v>
      </c>
      <c r="G84" s="19" t="n">
        <v>71.3</v>
      </c>
      <c r="H84" s="19">
        <f>G84*IF(F84=1, 0.85, 0.8)</f>
        <v/>
      </c>
      <c r="I84" s="14" t="inlineStr">
        <is>
          <t>2-4</t>
        </is>
      </c>
      <c r="J84" s="18">
        <f>INT(H84/(18*0.96))</f>
        <v/>
      </c>
      <c r="K84" s="19">
        <f>MAX(15, ROUND(TREND(G$3:G$94, E$3:E$94, E84), 1))</f>
        <v/>
      </c>
      <c r="L84" s="19">
        <f>MAX(15, ROUND(TREND(G$3:G$94, B$3:E$94, B84:E84), 1))</f>
        <v/>
      </c>
      <c r="M84" s="19">
        <f>MAX(15, ROUND(TREND(G$3:G$94, B$3:F$94, B84:F84), 1))</f>
        <v/>
      </c>
      <c r="N84" s="19">
        <f>M84*IF(F84=1, 0.85, 0.8)</f>
        <v/>
      </c>
      <c r="O84" s="18">
        <f>MAX(0, INT(N84/(18*0.96)))</f>
        <v/>
      </c>
      <c r="P84" s="18">
        <f>MAX(0, ROUND(O84*70%, 0))</f>
        <v/>
      </c>
      <c r="Q84" s="18">
        <f>MAX(0, MIN(ROUNDUP(O84*0.2, 0), MAX(0, O84 - P84)))</f>
        <v/>
      </c>
      <c r="R84" s="14">
        <f>IF(C84&gt;20, "Hủy slot (Mưa &gt; 20mm)", "Kích hoạt")</f>
        <v/>
      </c>
      <c r="S84" s="18">
        <f>IF(C84&gt;20, 0, Q84)</f>
        <v/>
      </c>
      <c r="T84" s="18">
        <f>IF(C84&gt;20, Q84*0.2*W84, 0)</f>
        <v/>
      </c>
      <c r="U84" s="18">
        <f>MAX(0, J84 - P84 - S84)</f>
        <v/>
      </c>
      <c r="V84" s="18">
        <f>P84 + S84 + U84</f>
        <v/>
      </c>
      <c r="W84" s="18">
        <f>IF(OR(B84&gt;=34, F84=1), 11700000, 9000000)</f>
        <v/>
      </c>
      <c r="X84" s="17" t="n">
        <v>0.02</v>
      </c>
      <c r="Y84" s="18">
        <f>AVERAGE(J81:J83)</f>
        <v/>
      </c>
      <c r="Z84" s="18">
        <f>ABS(J84 - Y84)</f>
        <v/>
      </c>
      <c r="AA84" s="18">
        <f>IF(Y84="", 0, IF(Y84&gt;J84, (Y84-J84)*2700000, 0))</f>
        <v/>
      </c>
      <c r="AB84" s="18">
        <f>IF(Y84="", 0, IF(J84&gt;Y84, (J84-Y84)*6000000, 0))</f>
        <v/>
      </c>
      <c r="AC84" s="18">
        <f>AA84 + AB84</f>
        <v/>
      </c>
      <c r="AD84" s="18">
        <f>ABS(V84 - J84)</f>
        <v/>
      </c>
      <c r="AE84" s="18">
        <f>IF(V84&gt;J84, (V84-J84)*2700000, 0)</f>
        <v/>
      </c>
      <c r="AF84" s="18">
        <f>IF(J84&gt;V84, (J84-V84)*6000000, 0)</f>
        <v/>
      </c>
      <c r="AG84" s="18">
        <f>AE84 + AF84 + T84</f>
        <v/>
      </c>
    </row>
    <row r="85">
      <c r="A85" s="14" t="inlineStr">
        <is>
          <t>Ngày 83 (22/07)</t>
        </is>
      </c>
      <c r="B85" s="15" t="n">
        <v>32.1</v>
      </c>
      <c r="C85" s="15" t="n">
        <v>2.4</v>
      </c>
      <c r="D85" s="16" t="n">
        <v>0.232</v>
      </c>
      <c r="E85" s="17" t="n">
        <v>69.8</v>
      </c>
      <c r="F85" s="18" t="n">
        <v>0</v>
      </c>
      <c r="G85" s="19" t="n">
        <v>96.8</v>
      </c>
      <c r="H85" s="19">
        <f>G85*IF(F85=1, 0.85, 0.8)</f>
        <v/>
      </c>
      <c r="I85" s="14" t="inlineStr">
        <is>
          <t>2-4</t>
        </is>
      </c>
      <c r="J85" s="18">
        <f>INT(H85/(18*0.96))</f>
        <v/>
      </c>
      <c r="K85" s="19">
        <f>MAX(15, ROUND(TREND(G$3:G$94, E$3:E$94, E85), 1))</f>
        <v/>
      </c>
      <c r="L85" s="19">
        <f>MAX(15, ROUND(TREND(G$3:G$94, B$3:E$94, B85:E85), 1))</f>
        <v/>
      </c>
      <c r="M85" s="19">
        <f>MAX(15, ROUND(TREND(G$3:G$94, B$3:F$94, B85:F85), 1))</f>
        <v/>
      </c>
      <c r="N85" s="19">
        <f>M85*IF(F85=1, 0.85, 0.8)</f>
        <v/>
      </c>
      <c r="O85" s="18">
        <f>MAX(0, INT(N85/(18*0.96)))</f>
        <v/>
      </c>
      <c r="P85" s="18">
        <f>MAX(0, ROUND(O85*70%, 0))</f>
        <v/>
      </c>
      <c r="Q85" s="18">
        <f>MAX(0, MIN(ROUNDUP(O85*0.2, 0), MAX(0, O85 - P85)))</f>
        <v/>
      </c>
      <c r="R85" s="14">
        <f>IF(C85&gt;20, "Hủy slot (Mưa &gt; 20mm)", "Kích hoạt")</f>
        <v/>
      </c>
      <c r="S85" s="18">
        <f>IF(C85&gt;20, 0, Q85)</f>
        <v/>
      </c>
      <c r="T85" s="18">
        <f>IF(C85&gt;20, Q85*0.2*W85, 0)</f>
        <v/>
      </c>
      <c r="U85" s="18">
        <f>MAX(0, J85 - P85 - S85)</f>
        <v/>
      </c>
      <c r="V85" s="18">
        <f>P85 + S85 + U85</f>
        <v/>
      </c>
      <c r="W85" s="18">
        <f>IF(OR(B85&gt;=34, F85=1), 11700000, 9000000)</f>
        <v/>
      </c>
      <c r="X85" s="17" t="n">
        <v>0.02</v>
      </c>
      <c r="Y85" s="18">
        <f>AVERAGE(J82:J84)</f>
        <v/>
      </c>
      <c r="Z85" s="18">
        <f>ABS(J85 - Y85)</f>
        <v/>
      </c>
      <c r="AA85" s="18">
        <f>IF(Y85="", 0, IF(Y85&gt;J85, (Y85-J85)*2700000, 0))</f>
        <v/>
      </c>
      <c r="AB85" s="18">
        <f>IF(Y85="", 0, IF(J85&gt;Y85, (J85-Y85)*6000000, 0))</f>
        <v/>
      </c>
      <c r="AC85" s="18">
        <f>AA85 + AB85</f>
        <v/>
      </c>
      <c r="AD85" s="18">
        <f>ABS(V85 - J85)</f>
        <v/>
      </c>
      <c r="AE85" s="18">
        <f>IF(V85&gt;J85, (V85-J85)*2700000, 0)</f>
        <v/>
      </c>
      <c r="AF85" s="18">
        <f>IF(J85&gt;V85, (J85-V85)*6000000, 0)</f>
        <v/>
      </c>
      <c r="AG85" s="18">
        <f>AE85 + AF85 + T85</f>
        <v/>
      </c>
    </row>
    <row r="86">
      <c r="A86" s="14" t="inlineStr">
        <is>
          <t>Ngày 84 (23/07)</t>
        </is>
      </c>
      <c r="B86" s="15" t="n">
        <v>31.7</v>
      </c>
      <c r="C86" s="15" t="n">
        <v>5.4</v>
      </c>
      <c r="D86" s="16" t="n">
        <v>0.192</v>
      </c>
      <c r="E86" s="17" t="n">
        <v>95.8</v>
      </c>
      <c r="F86" s="18" t="n">
        <v>1</v>
      </c>
      <c r="G86" s="19" t="n">
        <v>96.3</v>
      </c>
      <c r="H86" s="19">
        <f>G86*IF(F86=1, 0.85, 0.8)</f>
        <v/>
      </c>
      <c r="I86" s="14" t="inlineStr">
        <is>
          <t>2-4</t>
        </is>
      </c>
      <c r="J86" s="18">
        <f>INT(H86/(18*0.96))</f>
        <v/>
      </c>
      <c r="K86" s="19">
        <f>MAX(15, ROUND(TREND(G$3:G$94, E$3:E$94, E86), 1))</f>
        <v/>
      </c>
      <c r="L86" s="19">
        <f>MAX(15, ROUND(TREND(G$3:G$94, B$3:E$94, B86:E86), 1))</f>
        <v/>
      </c>
      <c r="M86" s="19">
        <f>MAX(15, ROUND(TREND(G$3:G$94, B$3:F$94, B86:F86), 1))</f>
        <v/>
      </c>
      <c r="N86" s="19">
        <f>M86*IF(F86=1, 0.85, 0.8)</f>
        <v/>
      </c>
      <c r="O86" s="18">
        <f>MAX(0, INT(N86/(18*0.96)))</f>
        <v/>
      </c>
      <c r="P86" s="18">
        <f>MAX(0, ROUND(O86*70%, 0))</f>
        <v/>
      </c>
      <c r="Q86" s="18">
        <f>MAX(0, MIN(ROUNDUP(O86*0.2, 0), MAX(0, O86 - P86)))</f>
        <v/>
      </c>
      <c r="R86" s="14">
        <f>IF(C86&gt;20, "Hủy slot (Mưa &gt; 20mm)", "Kích hoạt")</f>
        <v/>
      </c>
      <c r="S86" s="18">
        <f>IF(C86&gt;20, 0, Q86)</f>
        <v/>
      </c>
      <c r="T86" s="18">
        <f>IF(C86&gt;20, Q86*0.2*W86, 0)</f>
        <v/>
      </c>
      <c r="U86" s="18">
        <f>MAX(0, J86 - P86 - S86)</f>
        <v/>
      </c>
      <c r="V86" s="18">
        <f>P86 + S86 + U86</f>
        <v/>
      </c>
      <c r="W86" s="18">
        <f>IF(OR(B86&gt;=34, F86=1), 11700000, 9000000)</f>
        <v/>
      </c>
      <c r="X86" s="17" t="n">
        <v>0.02</v>
      </c>
      <c r="Y86" s="18">
        <f>AVERAGE(J83:J85)</f>
        <v/>
      </c>
      <c r="Z86" s="18">
        <f>ABS(J86 - Y86)</f>
        <v/>
      </c>
      <c r="AA86" s="18">
        <f>IF(Y86="", 0, IF(Y86&gt;J86, (Y86-J86)*2700000, 0))</f>
        <v/>
      </c>
      <c r="AB86" s="18">
        <f>IF(Y86="", 0, IF(J86&gt;Y86, (J86-Y86)*6000000, 0))</f>
        <v/>
      </c>
      <c r="AC86" s="18">
        <f>AA86 + AB86</f>
        <v/>
      </c>
      <c r="AD86" s="18">
        <f>ABS(V86 - J86)</f>
        <v/>
      </c>
      <c r="AE86" s="18">
        <f>IF(V86&gt;J86, (V86-J86)*2700000, 0)</f>
        <v/>
      </c>
      <c r="AF86" s="18">
        <f>IF(J86&gt;V86, (J86-V86)*6000000, 0)</f>
        <v/>
      </c>
      <c r="AG86" s="18">
        <f>AE86 + AF86 + T86</f>
        <v/>
      </c>
    </row>
    <row r="87">
      <c r="A87" s="14" t="inlineStr">
        <is>
          <t>Ngày 85 (24/07)</t>
        </is>
      </c>
      <c r="B87" s="15" t="n">
        <v>31.2</v>
      </c>
      <c r="C87" s="15" t="n">
        <v>5.3</v>
      </c>
      <c r="D87" s="16" t="n">
        <v>0.174</v>
      </c>
      <c r="E87" s="17" t="n">
        <v>66.5</v>
      </c>
      <c r="F87" s="18" t="n">
        <v>1</v>
      </c>
      <c r="G87" s="19" t="n">
        <v>96.90000000000001</v>
      </c>
      <c r="H87" s="19">
        <f>G87*IF(F87=1, 0.85, 0.8)</f>
        <v/>
      </c>
      <c r="I87" s="14" t="inlineStr">
        <is>
          <t>2-4</t>
        </is>
      </c>
      <c r="J87" s="18">
        <f>INT(H87/(18*0.96))</f>
        <v/>
      </c>
      <c r="K87" s="19">
        <f>MAX(15, ROUND(TREND(G$3:G$94, E$3:E$94, E87), 1))</f>
        <v/>
      </c>
      <c r="L87" s="19">
        <f>MAX(15, ROUND(TREND(G$3:G$94, B$3:E$94, B87:E87), 1))</f>
        <v/>
      </c>
      <c r="M87" s="19">
        <f>MAX(15, ROUND(TREND(G$3:G$94, B$3:F$94, B87:F87), 1))</f>
        <v/>
      </c>
      <c r="N87" s="19">
        <f>M87*IF(F87=1, 0.85, 0.8)</f>
        <v/>
      </c>
      <c r="O87" s="18">
        <f>MAX(0, INT(N87/(18*0.96)))</f>
        <v/>
      </c>
      <c r="P87" s="18">
        <f>MAX(0, ROUND(O87*70%, 0))</f>
        <v/>
      </c>
      <c r="Q87" s="18">
        <f>MAX(0, MIN(ROUNDUP(O87*0.2, 0), MAX(0, O87 - P87)))</f>
        <v/>
      </c>
      <c r="R87" s="14">
        <f>IF(C87&gt;20, "Hủy slot (Mưa &gt; 20mm)", "Kích hoạt")</f>
        <v/>
      </c>
      <c r="S87" s="18">
        <f>IF(C87&gt;20, 0, Q87)</f>
        <v/>
      </c>
      <c r="T87" s="18">
        <f>IF(C87&gt;20, Q87*0.2*W87, 0)</f>
        <v/>
      </c>
      <c r="U87" s="18">
        <f>MAX(0, J87 - P87 - S87)</f>
        <v/>
      </c>
      <c r="V87" s="18">
        <f>P87 + S87 + U87</f>
        <v/>
      </c>
      <c r="W87" s="18">
        <f>IF(OR(B87&gt;=34, F87=1), 11700000, 9000000)</f>
        <v/>
      </c>
      <c r="X87" s="17" t="n">
        <v>0.02</v>
      </c>
      <c r="Y87" s="18">
        <f>AVERAGE(J84:J86)</f>
        <v/>
      </c>
      <c r="Z87" s="18">
        <f>ABS(J87 - Y87)</f>
        <v/>
      </c>
      <c r="AA87" s="18">
        <f>IF(Y87="", 0, IF(Y87&gt;J87, (Y87-J87)*2700000, 0))</f>
        <v/>
      </c>
      <c r="AB87" s="18">
        <f>IF(Y87="", 0, IF(J87&gt;Y87, (J87-Y87)*6000000, 0))</f>
        <v/>
      </c>
      <c r="AC87" s="18">
        <f>AA87 + AB87</f>
        <v/>
      </c>
      <c r="AD87" s="18">
        <f>ABS(V87 - J87)</f>
        <v/>
      </c>
      <c r="AE87" s="18">
        <f>IF(V87&gt;J87, (V87-J87)*2700000, 0)</f>
        <v/>
      </c>
      <c r="AF87" s="18">
        <f>IF(J87&gt;V87, (J87-V87)*6000000, 0)</f>
        <v/>
      </c>
      <c r="AG87" s="18">
        <f>AE87 + AF87 + T87</f>
        <v/>
      </c>
    </row>
    <row r="88">
      <c r="A88" s="14" t="inlineStr">
        <is>
          <t>Ngày 86 (25/07)</t>
        </is>
      </c>
      <c r="B88" s="15" t="n">
        <v>32.4</v>
      </c>
      <c r="C88" s="15" t="n">
        <v>2</v>
      </c>
      <c r="D88" s="16" t="n">
        <v>0.167</v>
      </c>
      <c r="E88" s="17" t="n">
        <v>31.3</v>
      </c>
      <c r="F88" s="18" t="n">
        <v>0</v>
      </c>
      <c r="G88" s="19" t="n">
        <v>42.3</v>
      </c>
      <c r="H88" s="19">
        <f>G88*IF(F88=1, 0.85, 0.8)</f>
        <v/>
      </c>
      <c r="I88" s="14" t="inlineStr">
        <is>
          <t>2-4</t>
        </is>
      </c>
      <c r="J88" s="18">
        <f>INT(H88/(18*0.96))</f>
        <v/>
      </c>
      <c r="K88" s="19">
        <f>MAX(15, ROUND(TREND(G$3:G$94, E$3:E$94, E88), 1))</f>
        <v/>
      </c>
      <c r="L88" s="19">
        <f>MAX(15, ROUND(TREND(G$3:G$94, B$3:E$94, B88:E88), 1))</f>
        <v/>
      </c>
      <c r="M88" s="19">
        <f>MAX(15, ROUND(TREND(G$3:G$94, B$3:F$94, B88:F88), 1))</f>
        <v/>
      </c>
      <c r="N88" s="19">
        <f>M88*IF(F88=1, 0.85, 0.8)</f>
        <v/>
      </c>
      <c r="O88" s="18">
        <f>MAX(0, INT(N88/(18*0.96)))</f>
        <v/>
      </c>
      <c r="P88" s="18">
        <f>MAX(0, ROUND(O88*70%, 0))</f>
        <v/>
      </c>
      <c r="Q88" s="18">
        <f>MAX(0, MIN(ROUNDUP(O88*0.2, 0), MAX(0, O88 - P88)))</f>
        <v/>
      </c>
      <c r="R88" s="14">
        <f>IF(C88&gt;20, "Hủy slot (Mưa &gt; 20mm)", "Kích hoạt")</f>
        <v/>
      </c>
      <c r="S88" s="18">
        <f>IF(C88&gt;20, 0, Q88)</f>
        <v/>
      </c>
      <c r="T88" s="18">
        <f>IF(C88&gt;20, Q88*0.2*W88, 0)</f>
        <v/>
      </c>
      <c r="U88" s="18">
        <f>MAX(0, J88 - P88 - S88)</f>
        <v/>
      </c>
      <c r="V88" s="18">
        <f>P88 + S88 + U88</f>
        <v/>
      </c>
      <c r="W88" s="18">
        <f>IF(OR(B88&gt;=34, F88=1), 11700000, 9000000)</f>
        <v/>
      </c>
      <c r="X88" s="17" t="n">
        <v>0.02</v>
      </c>
      <c r="Y88" s="18">
        <f>AVERAGE(J85:J87)</f>
        <v/>
      </c>
      <c r="Z88" s="18">
        <f>ABS(J88 - Y88)</f>
        <v/>
      </c>
      <c r="AA88" s="18">
        <f>IF(Y88="", 0, IF(Y88&gt;J88, (Y88-J88)*2700000, 0))</f>
        <v/>
      </c>
      <c r="AB88" s="18">
        <f>IF(Y88="", 0, IF(J88&gt;Y88, (J88-Y88)*6000000, 0))</f>
        <v/>
      </c>
      <c r="AC88" s="18">
        <f>AA88 + AB88</f>
        <v/>
      </c>
      <c r="AD88" s="18">
        <f>ABS(V88 - J88)</f>
        <v/>
      </c>
      <c r="AE88" s="18">
        <f>IF(V88&gt;J88, (V88-J88)*2700000, 0)</f>
        <v/>
      </c>
      <c r="AF88" s="18">
        <f>IF(J88&gt;V88, (J88-V88)*6000000, 0)</f>
        <v/>
      </c>
      <c r="AG88" s="18">
        <f>AE88 + AF88 + T88</f>
        <v/>
      </c>
    </row>
    <row r="89">
      <c r="A89" s="14" t="inlineStr">
        <is>
          <t>Ngày 87 (26/07)</t>
        </is>
      </c>
      <c r="B89" s="15" t="n">
        <v>34</v>
      </c>
      <c r="C89" s="15" t="n">
        <v>0</v>
      </c>
      <c r="D89" s="16" t="n">
        <v>0.149</v>
      </c>
      <c r="E89" s="17" t="n">
        <v>15</v>
      </c>
      <c r="F89" s="18" t="n">
        <v>0</v>
      </c>
      <c r="G89" s="19" t="n">
        <v>36.9</v>
      </c>
      <c r="H89" s="19">
        <f>G89*IF(F89=1, 0.85, 0.8)</f>
        <v/>
      </c>
      <c r="I89" s="14" t="inlineStr">
        <is>
          <t>2-4</t>
        </is>
      </c>
      <c r="J89" s="18">
        <f>INT(H89/(18*0.96))</f>
        <v/>
      </c>
      <c r="K89" s="19">
        <f>MAX(15, ROUND(TREND(G$3:G$94, E$3:E$94, E89), 1))</f>
        <v/>
      </c>
      <c r="L89" s="19">
        <f>MAX(15, ROUND(TREND(G$3:G$94, B$3:E$94, B89:E89), 1))</f>
        <v/>
      </c>
      <c r="M89" s="19">
        <f>MAX(15, ROUND(TREND(G$3:G$94, B$3:F$94, B89:F89), 1))</f>
        <v/>
      </c>
      <c r="N89" s="19">
        <f>M89*IF(F89=1, 0.85, 0.8)</f>
        <v/>
      </c>
      <c r="O89" s="18">
        <f>MAX(0, INT(N89/(18*0.96)))</f>
        <v/>
      </c>
      <c r="P89" s="18">
        <f>MAX(0, ROUND(O89*70%, 0))</f>
        <v/>
      </c>
      <c r="Q89" s="18">
        <f>MAX(0, MIN(ROUNDUP(O89*0.2, 0), MAX(0, O89 - P89)))</f>
        <v/>
      </c>
      <c r="R89" s="14">
        <f>IF(C89&gt;20, "Hủy slot (Mưa &gt; 20mm)", "Kích hoạt")</f>
        <v/>
      </c>
      <c r="S89" s="18">
        <f>IF(C89&gt;20, 0, Q89)</f>
        <v/>
      </c>
      <c r="T89" s="18">
        <f>IF(C89&gt;20, Q89*0.2*W89, 0)</f>
        <v/>
      </c>
      <c r="U89" s="18">
        <f>MAX(0, J89 - P89 - S89)</f>
        <v/>
      </c>
      <c r="V89" s="18">
        <f>P89 + S89 + U89</f>
        <v/>
      </c>
      <c r="W89" s="18">
        <f>IF(OR(B89&gt;=34, F89=1), 11700000, 9000000)</f>
        <v/>
      </c>
      <c r="X89" s="17" t="n">
        <v>0.02</v>
      </c>
      <c r="Y89" s="18">
        <f>AVERAGE(J86:J88)</f>
        <v/>
      </c>
      <c r="Z89" s="18">
        <f>ABS(J89 - Y89)</f>
        <v/>
      </c>
      <c r="AA89" s="18">
        <f>IF(Y89="", 0, IF(Y89&gt;J89, (Y89-J89)*2700000, 0))</f>
        <v/>
      </c>
      <c r="AB89" s="18">
        <f>IF(Y89="", 0, IF(J89&gt;Y89, (J89-Y89)*6000000, 0))</f>
        <v/>
      </c>
      <c r="AC89" s="18">
        <f>AA89 + AB89</f>
        <v/>
      </c>
      <c r="AD89" s="18">
        <f>ABS(V89 - J89)</f>
        <v/>
      </c>
      <c r="AE89" s="18">
        <f>IF(V89&gt;J89, (V89-J89)*2700000, 0)</f>
        <v/>
      </c>
      <c r="AF89" s="18">
        <f>IF(J89&gt;V89, (J89-V89)*6000000, 0)</f>
        <v/>
      </c>
      <c r="AG89" s="18">
        <f>AE89 + AF89 + T89</f>
        <v/>
      </c>
    </row>
    <row r="90">
      <c r="A90" s="14" t="inlineStr">
        <is>
          <t>Ngày 88 (27/07)</t>
        </is>
      </c>
      <c r="B90" s="15" t="n">
        <v>32.5</v>
      </c>
      <c r="C90" s="15" t="n">
        <v>8</v>
      </c>
      <c r="D90" s="16" t="n">
        <v>0.146</v>
      </c>
      <c r="E90" s="17" t="n">
        <v>38.2</v>
      </c>
      <c r="F90" s="18" t="n">
        <v>0</v>
      </c>
      <c r="G90" s="19" t="n">
        <v>51.2</v>
      </c>
      <c r="H90" s="19">
        <f>G90*IF(F90=1, 0.85, 0.8)</f>
        <v/>
      </c>
      <c r="I90" s="14" t="inlineStr">
        <is>
          <t>2-4</t>
        </is>
      </c>
      <c r="J90" s="18">
        <f>INT(H90/(18*0.96))</f>
        <v/>
      </c>
      <c r="K90" s="19">
        <f>MAX(15, ROUND(TREND(G$3:G$94, E$3:E$94, E90), 1))</f>
        <v/>
      </c>
      <c r="L90" s="19">
        <f>MAX(15, ROUND(TREND(G$3:G$94, B$3:E$94, B90:E90), 1))</f>
        <v/>
      </c>
      <c r="M90" s="19">
        <f>MAX(15, ROUND(TREND(G$3:G$94, B$3:F$94, B90:F90), 1))</f>
        <v/>
      </c>
      <c r="N90" s="19">
        <f>M90*IF(F90=1, 0.85, 0.8)</f>
        <v/>
      </c>
      <c r="O90" s="18">
        <f>MAX(0, INT(N90/(18*0.96)))</f>
        <v/>
      </c>
      <c r="P90" s="18">
        <f>MAX(0, ROUND(O90*70%, 0))</f>
        <v/>
      </c>
      <c r="Q90" s="18">
        <f>MAX(0, MIN(ROUNDUP(O90*0.2, 0), MAX(0, O90 - P90)))</f>
        <v/>
      </c>
      <c r="R90" s="14">
        <f>IF(C90&gt;20, "Hủy slot (Mưa &gt; 20mm)", "Kích hoạt")</f>
        <v/>
      </c>
      <c r="S90" s="18">
        <f>IF(C90&gt;20, 0, Q90)</f>
        <v/>
      </c>
      <c r="T90" s="18">
        <f>IF(C90&gt;20, Q90*0.2*W90, 0)</f>
        <v/>
      </c>
      <c r="U90" s="18">
        <f>MAX(0, J90 - P90 - S90)</f>
        <v/>
      </c>
      <c r="V90" s="18">
        <f>P90 + S90 + U90</f>
        <v/>
      </c>
      <c r="W90" s="18">
        <f>IF(OR(B90&gt;=34, F90=1), 11700000, 9000000)</f>
        <v/>
      </c>
      <c r="X90" s="17" t="n">
        <v>0.02</v>
      </c>
      <c r="Y90" s="18">
        <f>AVERAGE(J87:J89)</f>
        <v/>
      </c>
      <c r="Z90" s="18">
        <f>ABS(J90 - Y90)</f>
        <v/>
      </c>
      <c r="AA90" s="18">
        <f>IF(Y90="", 0, IF(Y90&gt;J90, (Y90-J90)*2700000, 0))</f>
        <v/>
      </c>
      <c r="AB90" s="18">
        <f>IF(Y90="", 0, IF(J90&gt;Y90, (J90-Y90)*6000000, 0))</f>
        <v/>
      </c>
      <c r="AC90" s="18">
        <f>AA90 + AB90</f>
        <v/>
      </c>
      <c r="AD90" s="18">
        <f>ABS(V90 - J90)</f>
        <v/>
      </c>
      <c r="AE90" s="18">
        <f>IF(V90&gt;J90, (V90-J90)*2700000, 0)</f>
        <v/>
      </c>
      <c r="AF90" s="18">
        <f>IF(J90&gt;V90, (J90-V90)*6000000, 0)</f>
        <v/>
      </c>
      <c r="AG90" s="18">
        <f>AE90 + AF90 + T90</f>
        <v/>
      </c>
    </row>
    <row r="91">
      <c r="A91" s="14" t="inlineStr">
        <is>
          <t>Ngày 89 (28/07)</t>
        </is>
      </c>
      <c r="B91" s="15" t="n">
        <v>30</v>
      </c>
      <c r="C91" s="15" t="n">
        <v>12.3</v>
      </c>
      <c r="D91" s="16" t="n">
        <v>0.114</v>
      </c>
      <c r="E91" s="17" t="n">
        <v>18.3</v>
      </c>
      <c r="F91" s="18" t="n">
        <v>0</v>
      </c>
      <c r="G91" s="19" t="n">
        <v>41.6</v>
      </c>
      <c r="H91" s="19">
        <f>G91*IF(F91=1, 0.85, 0.8)</f>
        <v/>
      </c>
      <c r="I91" s="14" t="inlineStr">
        <is>
          <t>2-4</t>
        </is>
      </c>
      <c r="J91" s="18">
        <f>INT(H91/(18*0.96))</f>
        <v/>
      </c>
      <c r="K91" s="19">
        <f>MAX(15, ROUND(TREND(G$3:G$94, E$3:E$94, E91), 1))</f>
        <v/>
      </c>
      <c r="L91" s="19">
        <f>MAX(15, ROUND(TREND(G$3:G$94, B$3:E$94, B91:E91), 1))</f>
        <v/>
      </c>
      <c r="M91" s="19">
        <f>MAX(15, ROUND(TREND(G$3:G$94, B$3:F$94, B91:F91), 1))</f>
        <v/>
      </c>
      <c r="N91" s="19">
        <f>M91*IF(F91=1, 0.85, 0.8)</f>
        <v/>
      </c>
      <c r="O91" s="18">
        <f>MAX(0, INT(N91/(18*0.96)))</f>
        <v/>
      </c>
      <c r="P91" s="18">
        <f>MAX(0, ROUND(O91*70%, 0))</f>
        <v/>
      </c>
      <c r="Q91" s="18">
        <f>MAX(0, MIN(ROUNDUP(O91*0.2, 0), MAX(0, O91 - P91)))</f>
        <v/>
      </c>
      <c r="R91" s="14">
        <f>IF(C91&gt;20, "Hủy slot (Mưa &gt; 20mm)", "Kích hoạt")</f>
        <v/>
      </c>
      <c r="S91" s="18">
        <f>IF(C91&gt;20, 0, Q91)</f>
        <v/>
      </c>
      <c r="T91" s="18">
        <f>IF(C91&gt;20, Q91*0.2*W91, 0)</f>
        <v/>
      </c>
      <c r="U91" s="18">
        <f>MAX(0, J91 - P91 - S91)</f>
        <v/>
      </c>
      <c r="V91" s="18">
        <f>P91 + S91 + U91</f>
        <v/>
      </c>
      <c r="W91" s="18">
        <f>IF(OR(B91&gt;=34, F91=1), 11700000, 9000000)</f>
        <v/>
      </c>
      <c r="X91" s="17" t="n">
        <v>0.02</v>
      </c>
      <c r="Y91" s="18">
        <f>AVERAGE(J88:J90)</f>
        <v/>
      </c>
      <c r="Z91" s="18">
        <f>ABS(J91 - Y91)</f>
        <v/>
      </c>
      <c r="AA91" s="18">
        <f>IF(Y91="", 0, IF(Y91&gt;J91, (Y91-J91)*2700000, 0))</f>
        <v/>
      </c>
      <c r="AB91" s="18">
        <f>IF(Y91="", 0, IF(J91&gt;Y91, (J91-Y91)*6000000, 0))</f>
        <v/>
      </c>
      <c r="AC91" s="18">
        <f>AA91 + AB91</f>
        <v/>
      </c>
      <c r="AD91" s="18">
        <f>ABS(V91 - J91)</f>
        <v/>
      </c>
      <c r="AE91" s="18">
        <f>IF(V91&gt;J91, (V91-J91)*2700000, 0)</f>
        <v/>
      </c>
      <c r="AF91" s="18">
        <f>IF(J91&gt;V91, (J91-V91)*6000000, 0)</f>
        <v/>
      </c>
      <c r="AG91" s="18">
        <f>AE91 + AF91 + T91</f>
        <v/>
      </c>
    </row>
    <row r="92">
      <c r="A92" s="14" t="inlineStr">
        <is>
          <t>Ngày 90 (29/07)</t>
        </is>
      </c>
      <c r="B92" s="15" t="n">
        <v>31.6</v>
      </c>
      <c r="C92" s="15" t="n">
        <v>5.9</v>
      </c>
      <c r="D92" s="16" t="n">
        <v>0.107</v>
      </c>
      <c r="E92" s="17" t="n">
        <v>20</v>
      </c>
      <c r="F92" s="18" t="n">
        <v>0</v>
      </c>
      <c r="G92" s="19" t="n">
        <v>30.1</v>
      </c>
      <c r="H92" s="19">
        <f>G92*IF(F92=1, 0.85, 0.8)</f>
        <v/>
      </c>
      <c r="I92" s="14" t="inlineStr">
        <is>
          <t>2-4</t>
        </is>
      </c>
      <c r="J92" s="18">
        <f>INT(H92/(18*0.96))</f>
        <v/>
      </c>
      <c r="K92" s="19">
        <f>MAX(15, ROUND(TREND(G$3:G$94, E$3:E$94, E92), 1))</f>
        <v/>
      </c>
      <c r="L92" s="19">
        <f>MAX(15, ROUND(TREND(G$3:G$94, B$3:E$94, B92:E92), 1))</f>
        <v/>
      </c>
      <c r="M92" s="19">
        <f>MAX(15, ROUND(TREND(G$3:G$94, B$3:F$94, B92:F92), 1))</f>
        <v/>
      </c>
      <c r="N92" s="19">
        <f>M92*IF(F92=1, 0.85, 0.8)</f>
        <v/>
      </c>
      <c r="O92" s="18">
        <f>MAX(0, INT(N92/(18*0.96)))</f>
        <v/>
      </c>
      <c r="P92" s="18">
        <f>MAX(0, ROUND(O92*70%, 0))</f>
        <v/>
      </c>
      <c r="Q92" s="18">
        <f>MAX(0, MIN(ROUNDUP(O92*0.2, 0), MAX(0, O92 - P92)))</f>
        <v/>
      </c>
      <c r="R92" s="14">
        <f>IF(C92&gt;20, "Hủy slot (Mưa &gt; 20mm)", "Kích hoạt")</f>
        <v/>
      </c>
      <c r="S92" s="18">
        <f>IF(C92&gt;20, 0, Q92)</f>
        <v/>
      </c>
      <c r="T92" s="18">
        <f>IF(C92&gt;20, Q92*0.2*W92, 0)</f>
        <v/>
      </c>
      <c r="U92" s="18">
        <f>MAX(0, J92 - P92 - S92)</f>
        <v/>
      </c>
      <c r="V92" s="18">
        <f>P92 + S92 + U92</f>
        <v/>
      </c>
      <c r="W92" s="18">
        <f>IF(OR(B92&gt;=34, F92=1), 11700000, 9000000)</f>
        <v/>
      </c>
      <c r="X92" s="17" t="n">
        <v>0.02</v>
      </c>
      <c r="Y92" s="18">
        <f>AVERAGE(J89:J91)</f>
        <v/>
      </c>
      <c r="Z92" s="18">
        <f>ABS(J92 - Y92)</f>
        <v/>
      </c>
      <c r="AA92" s="18">
        <f>IF(Y92="", 0, IF(Y92&gt;J92, (Y92-J92)*2700000, 0))</f>
        <v/>
      </c>
      <c r="AB92" s="18">
        <f>IF(Y92="", 0, IF(J92&gt;Y92, (J92-Y92)*6000000, 0))</f>
        <v/>
      </c>
      <c r="AC92" s="18">
        <f>AA92 + AB92</f>
        <v/>
      </c>
      <c r="AD92" s="18">
        <f>ABS(V92 - J92)</f>
        <v/>
      </c>
      <c r="AE92" s="18">
        <f>IF(V92&gt;J92, (V92-J92)*2700000, 0)</f>
        <v/>
      </c>
      <c r="AF92" s="18">
        <f>IF(J92&gt;V92, (J92-V92)*6000000, 0)</f>
        <v/>
      </c>
      <c r="AG92" s="18">
        <f>AE92 + AF92 + T92</f>
        <v/>
      </c>
    </row>
    <row r="93">
      <c r="A93" s="14" t="inlineStr">
        <is>
          <t>Ngày 91 (30/07)</t>
        </is>
      </c>
      <c r="B93" s="15" t="n">
        <v>30.4</v>
      </c>
      <c r="C93" s="15" t="n">
        <v>11</v>
      </c>
      <c r="D93" s="16" t="n">
        <v>0.091</v>
      </c>
      <c r="E93" s="17" t="n">
        <v>31.2</v>
      </c>
      <c r="F93" s="18" t="n">
        <v>1</v>
      </c>
      <c r="G93" s="19" t="n">
        <v>26.8</v>
      </c>
      <c r="H93" s="19">
        <f>G93*IF(F93=1, 0.85, 0.8)</f>
        <v/>
      </c>
      <c r="I93" s="14" t="inlineStr">
        <is>
          <t>2-4</t>
        </is>
      </c>
      <c r="J93" s="18">
        <f>INT(H93/(18*0.96))</f>
        <v/>
      </c>
      <c r="K93" s="19">
        <f>MAX(15, ROUND(TREND(G$3:G$94, E$3:E$94, E93), 1))</f>
        <v/>
      </c>
      <c r="L93" s="19">
        <f>MAX(15, ROUND(TREND(G$3:G$94, B$3:E$94, B93:E93), 1))</f>
        <v/>
      </c>
      <c r="M93" s="19">
        <f>MAX(15, ROUND(TREND(G$3:G$94, B$3:F$94, B93:F93), 1))</f>
        <v/>
      </c>
      <c r="N93" s="19">
        <f>M93*IF(F93=1, 0.85, 0.8)</f>
        <v/>
      </c>
      <c r="O93" s="18">
        <f>MAX(0, INT(N93/(18*0.96)))</f>
        <v/>
      </c>
      <c r="P93" s="18">
        <f>MAX(0, ROUND(O93*70%, 0))</f>
        <v/>
      </c>
      <c r="Q93" s="18">
        <f>MAX(0, MIN(ROUNDUP(O93*0.2, 0), MAX(0, O93 - P93)))</f>
        <v/>
      </c>
      <c r="R93" s="14">
        <f>IF(C93&gt;20, "Hủy slot (Mưa &gt; 20mm)", "Kích hoạt")</f>
        <v/>
      </c>
      <c r="S93" s="18">
        <f>IF(C93&gt;20, 0, Q93)</f>
        <v/>
      </c>
      <c r="T93" s="18">
        <f>IF(C93&gt;20, Q93*0.2*W93, 0)</f>
        <v/>
      </c>
      <c r="U93" s="18">
        <f>MAX(0, J93 - P93 - S93)</f>
        <v/>
      </c>
      <c r="V93" s="18">
        <f>P93 + S93 + U93</f>
        <v/>
      </c>
      <c r="W93" s="18">
        <f>IF(OR(B93&gt;=34, F93=1), 11700000, 9000000)</f>
        <v/>
      </c>
      <c r="X93" s="17" t="n">
        <v>0.02</v>
      </c>
      <c r="Y93" s="18">
        <f>AVERAGE(J90:J92)</f>
        <v/>
      </c>
      <c r="Z93" s="18">
        <f>ABS(J93 - Y93)</f>
        <v/>
      </c>
      <c r="AA93" s="18">
        <f>IF(Y93="", 0, IF(Y93&gt;J93, (Y93-J93)*2700000, 0))</f>
        <v/>
      </c>
      <c r="AB93" s="18">
        <f>IF(Y93="", 0, IF(J93&gt;Y93, (J93-Y93)*6000000, 0))</f>
        <v/>
      </c>
      <c r="AC93" s="18">
        <f>AA93 + AB93</f>
        <v/>
      </c>
      <c r="AD93" s="18">
        <f>ABS(V93 - J93)</f>
        <v/>
      </c>
      <c r="AE93" s="18">
        <f>IF(V93&gt;J93, (V93-J93)*2700000, 0)</f>
        <v/>
      </c>
      <c r="AF93" s="18">
        <f>IF(J93&gt;V93, (J93-V93)*6000000, 0)</f>
        <v/>
      </c>
      <c r="AG93" s="18">
        <f>AE93 + AF93 + T93</f>
        <v/>
      </c>
    </row>
    <row r="94">
      <c r="A94" s="14" t="inlineStr">
        <is>
          <t>Ngày 92 (31/07)</t>
        </is>
      </c>
      <c r="B94" s="15" t="n">
        <v>29.8</v>
      </c>
      <c r="C94" s="15" t="n">
        <v>13.2</v>
      </c>
      <c r="D94" s="16" t="n">
        <v>0.08</v>
      </c>
      <c r="E94" s="17" t="n">
        <v>32.8</v>
      </c>
      <c r="F94" s="18" t="n">
        <v>1</v>
      </c>
      <c r="G94" s="19" t="n">
        <v>17.6</v>
      </c>
      <c r="H94" s="19">
        <f>G94*IF(F94=1, 0.85, 0.8)</f>
        <v/>
      </c>
      <c r="I94" s="14" t="inlineStr">
        <is>
          <t>2-4</t>
        </is>
      </c>
      <c r="J94" s="18">
        <f>INT(H94/(18*0.96))</f>
        <v/>
      </c>
      <c r="K94" s="19">
        <f>MAX(15, ROUND(TREND(G$3:G$94, E$3:E$94, E94), 1))</f>
        <v/>
      </c>
      <c r="L94" s="19">
        <f>MAX(15, ROUND(TREND(G$3:G$94, B$3:E$94, B94:E94), 1))</f>
        <v/>
      </c>
      <c r="M94" s="19">
        <f>MAX(15, ROUND(TREND(G$3:G$94, B$3:F$94, B94:F94), 1))</f>
        <v/>
      </c>
      <c r="N94" s="19">
        <f>M94*IF(F94=1, 0.85, 0.8)</f>
        <v/>
      </c>
      <c r="O94" s="18">
        <f>MAX(0, INT(N94/(18*0.96)))</f>
        <v/>
      </c>
      <c r="P94" s="18">
        <f>MAX(0, ROUND(O94*70%, 0))</f>
        <v/>
      </c>
      <c r="Q94" s="18">
        <f>MAX(0, MIN(ROUNDUP(O94*0.2, 0), MAX(0, O94 - P94)))</f>
        <v/>
      </c>
      <c r="R94" s="14">
        <f>IF(C94&gt;20, "Hủy slot (Mưa &gt; 20mm)", "Kích hoạt")</f>
        <v/>
      </c>
      <c r="S94" s="18">
        <f>IF(C94&gt;20, 0, Q94)</f>
        <v/>
      </c>
      <c r="T94" s="18">
        <f>IF(C94&gt;20, Q94*0.2*W94, 0)</f>
        <v/>
      </c>
      <c r="U94" s="18">
        <f>MAX(0, J94 - P94 - S94)</f>
        <v/>
      </c>
      <c r="V94" s="18">
        <f>P94 + S94 + U94</f>
        <v/>
      </c>
      <c r="W94" s="18">
        <f>IF(OR(B94&gt;=34, F94=1), 11700000, 9000000)</f>
        <v/>
      </c>
      <c r="X94" s="17" t="n">
        <v>0.02</v>
      </c>
      <c r="Y94" s="18">
        <f>AVERAGE(J91:J93)</f>
        <v/>
      </c>
      <c r="Z94" s="18">
        <f>ABS(J94 - Y94)</f>
        <v/>
      </c>
      <c r="AA94" s="18">
        <f>IF(Y94="", 0, IF(Y94&gt;J94, (Y94-J94)*2700000, 0))</f>
        <v/>
      </c>
      <c r="AB94" s="18">
        <f>IF(Y94="", 0, IF(J94&gt;Y94, (J94-Y94)*6000000, 0))</f>
        <v/>
      </c>
      <c r="AC94" s="18">
        <f>AA94 + AB94</f>
        <v/>
      </c>
      <c r="AD94" s="18">
        <f>ABS(V94 - J94)</f>
        <v/>
      </c>
      <c r="AE94" s="18">
        <f>IF(V94&gt;J94, (V94-J94)*2700000, 0)</f>
        <v/>
      </c>
      <c r="AF94" s="18">
        <f>IF(J94&gt;V94, (J94-V94)*6000000, 0)</f>
        <v/>
      </c>
      <c r="AG94" s="18">
        <f>AE94 + AF94 + T94</f>
        <v/>
      </c>
    </row>
    <row r="95"/>
    <row r="96">
      <c r="B96" s="20" t="inlineStr">
        <is>
          <t>BẢNG TỔNG HỢP KPI SO SÁNH HIỆU QUẢ: BASELINE VS. FROSTLINK (92 NGÀY MÙA VỤ CONT 40FT)</t>
        </is>
      </c>
    </row>
    <row r="97">
      <c r="B97" s="21" t="inlineStr">
        <is>
          <t>Chỉ số KPI Đánh giá</t>
        </is>
      </c>
      <c r="C97" s="21" t="inlineStr">
        <is>
          <t>Mô hình nền (Baseline)</t>
        </is>
      </c>
      <c r="D97" s="21" t="inlineStr">
        <is>
          <t>FrostLink (Đề xuất)</t>
        </is>
      </c>
      <c r="E97" s="21" t="inlineStr">
        <is>
          <t>Chênh lệch (Mức giảm)</t>
        </is>
      </c>
      <c r="F97" s="21" t="inlineStr">
        <is>
          <t>Tỷ lệ cải thiện (%)</t>
        </is>
      </c>
    </row>
    <row r="98">
      <c r="B98" s="22" t="inlineStr">
        <is>
          <t>Sai số số xe trung bình (Truck MAE - Cont/ngày)</t>
        </is>
      </c>
      <c r="C98" s="23">
        <f>AVERAGE(Z6:Z94)</f>
        <v/>
      </c>
      <c r="D98" s="23">
        <f>AVERAGE(AD6:AD94)</f>
        <v/>
      </c>
      <c r="E98" s="23">
        <f>C98-D98</f>
        <v/>
      </c>
      <c r="F98" s="23">
        <f>(C98-D98)/C98</f>
        <v/>
      </c>
    </row>
    <row r="99">
      <c r="B99" s="22" t="inlineStr">
        <is>
          <t>Sai số phần trăm có trọng số (Truck WAPE)</t>
        </is>
      </c>
      <c r="C99" s="23">
        <f>SUM(Z6:Z94)/SUM(J6:J94)</f>
        <v/>
      </c>
      <c r="D99" s="23">
        <f>SUM(AD6:AD94)/SUM(J6:J94)</f>
        <v/>
      </c>
      <c r="E99" s="23">
        <f>C99-D99</f>
        <v/>
      </c>
      <c r="F99" s="23">
        <f>(C99-D99)/C99</f>
        <v/>
      </c>
    </row>
    <row r="100">
      <c r="B100" s="24" t="inlineStr">
        <is>
          <t>Sai số sản lượng MAE (Tấn/ngày)</t>
        </is>
      </c>
      <c r="C100" s="23">
        <f>AVERAGE(Z6:Z94)*(18*0.96)</f>
        <v/>
      </c>
      <c r="D100" s="23">
        <f>D98*(18*0.96)</f>
        <v/>
      </c>
      <c r="E100" s="23">
        <f>C100-D100</f>
        <v/>
      </c>
      <c r="F100" s="23">
        <f>(C100-D100)/C100</f>
        <v/>
      </c>
    </row>
    <row r="101">
      <c r="B101" s="24" t="inlineStr">
        <is>
          <t>Tổng chi phí thừa xe C_over (VNĐ)</t>
        </is>
      </c>
      <c r="C101" s="23">
        <f>SUM(AA3:AA94)</f>
        <v/>
      </c>
      <c r="D101" s="23">
        <f>SUM(AE3:AE94)</f>
        <v/>
      </c>
      <c r="E101" s="23">
        <f>C101-D101</f>
        <v/>
      </c>
      <c r="F101" s="23">
        <f>IF(C101=0, 0, (C101-D101)/C101)</f>
        <v/>
      </c>
    </row>
    <row r="102">
      <c r="B102" s="24" t="inlineStr">
        <is>
          <t>Tổng chi phí thiếu xe C_under (VNĐ)</t>
        </is>
      </c>
      <c r="C102" s="23">
        <f>SUM(AB3:AB94)</f>
        <v/>
      </c>
      <c r="D102" s="23">
        <f>SUM(AF3:AF94)</f>
        <v/>
      </c>
      <c r="E102" s="23">
        <f>C102-D102</f>
        <v/>
      </c>
      <c r="F102" s="23">
        <f>IF(C102=0, 0, (C102-D102)/C102)</f>
        <v/>
      </c>
    </row>
    <row r="103">
      <c r="B103" s="24" t="inlineStr">
        <is>
          <t>Chi phí phạt hủy cọc Lớp 2 (VNĐ)</t>
        </is>
      </c>
      <c r="C103" s="23" t="n">
        <v>0</v>
      </c>
      <c r="D103" s="23">
        <f>SUM(T3:T94)</f>
        <v/>
      </c>
      <c r="E103" s="23">
        <f>C103-D103</f>
        <v/>
      </c>
      <c r="F103" s="23">
        <f>IF(C103=0, "N/A", (C103-D103)/C103)</f>
        <v/>
      </c>
    </row>
    <row r="104">
      <c r="B104" s="25" t="inlineStr">
        <is>
          <t>TỔNG CHI PHÍ RỦI RO CHUỖI LẠNH (VNĐ)</t>
        </is>
      </c>
      <c r="C104" s="26">
        <f>SUM(AC3:AC94)</f>
        <v/>
      </c>
      <c r="D104" s="26">
        <f>SUM(AG3:AG94)</f>
        <v/>
      </c>
      <c r="E104" s="25">
        <f>C104-D104</f>
        <v/>
      </c>
      <c r="F104" s="25">
        <f>(C104-D104)/C104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2026-09-16T18:05:11Z</dcterms:created>
  <dcterms:modified xmlns:dcterms="http://purl.org/dc/terms/" xmlns:xsi="http://www.w3.org/2001/XMLSchema-instance" xsi:type="dcterms:W3CDTF">2026-09-16T18:05:12Z</dcterms:modified>
</cp:coreProperties>
</file>