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565C0"/>
      <sz val="12"/>
    </font>
    <font>
      <name val="Arial"/>
      <b val="1"/>
      <color rgb="00000000"/>
      <sz val="9.5"/>
    </font>
    <font>
      <name val="Arial"/>
      <sz val="9"/>
    </font>
    <font>
      <name val="Arial"/>
      <b val="1"/>
      <color rgb="001565C0"/>
      <sz val="11"/>
    </font>
    <font>
      <name val="Arial"/>
      <b val="1"/>
      <color rgb="00FFFFFF"/>
      <sz val="10"/>
    </font>
    <font>
      <name val="Arial"/>
      <b val="1"/>
      <sz val="9.5"/>
    </font>
    <font>
      <name val="Arial"/>
      <sz val="9.5"/>
    </font>
    <font>
      <name val="Arial"/>
      <b val="1"/>
      <color rgb="00000000"/>
      <sz val="10"/>
    </font>
    <font>
      <name val="Arial"/>
      <b val="1"/>
      <color rgb="00D32F2F"/>
      <sz val="10"/>
    </font>
  </fonts>
  <fills count="18">
    <fill>
      <patternFill/>
    </fill>
    <fill>
      <patternFill patternType="gray125"/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E1BEE7"/>
        <bgColor rgb="00E1BEE7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E0F2F1"/>
        <bgColor rgb="00E0F2F1"/>
      </patternFill>
    </fill>
    <fill>
      <patternFill patternType="solid">
        <fgColor rgb="00D1C4E9"/>
        <bgColor rgb="00D1C4E9"/>
      </patternFill>
    </fill>
    <fill>
      <patternFill patternType="solid">
        <fgColor rgb="00B39DDB"/>
        <bgColor rgb="00B39DDB"/>
      </patternFill>
    </fill>
    <fill>
      <patternFill patternType="solid">
        <fgColor rgb="00C5CAE9"/>
        <bgColor rgb="00C5CAE9"/>
      </patternFill>
    </fill>
    <fill>
      <patternFill patternType="solid">
        <fgColor rgb="00FFCDD2"/>
        <bgColor rgb="00FFCDD2"/>
      </patternFill>
    </fill>
    <fill>
      <patternFill patternType="solid">
        <fgColor rgb="00FFE082"/>
        <bgColor rgb="00FFE082"/>
      </patternFill>
    </fill>
    <fill>
      <patternFill patternType="solid">
        <fgColor rgb="00F5F5F5"/>
        <bgColor rgb="00F5F5F5"/>
      </patternFill>
    </fill>
    <fill>
      <patternFill patternType="solid">
        <fgColor rgb="00EF9A9A"/>
        <bgColor rgb="00EF9A9A"/>
      </patternFill>
    </fill>
    <fill>
      <patternFill patternType="solid">
        <fgColor rgb="00A5D6A7"/>
        <bgColor rgb="00A5D6A7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4" fillId="0" borderId="0" pivotButton="0" quotePrefix="0" xfId="0"/>
    <xf numFmtId="0" fontId="5" fillId="17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9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3" customWidth="1" min="4" max="4"/>
    <col width="16" customWidth="1" min="5" max="5"/>
    <col width="18" customWidth="1" min="6" max="6"/>
    <col width="28" customWidth="1" min="7" max="7"/>
    <col width="29" customWidth="1" min="8" max="8"/>
    <col width="24" customWidth="1" min="9" max="9"/>
    <col width="33" customWidth="1" min="10" max="10"/>
    <col width="33" customWidth="1" min="11" max="11"/>
    <col width="42" customWidth="1" min="12" max="12"/>
    <col width="23" customWidth="1" min="13" max="13"/>
    <col width="44" customWidth="1" min="14" max="14"/>
    <col width="48" customWidth="1" min="15" max="15"/>
    <col width="48" customWidth="1" min="16" max="16"/>
    <col width="32" customWidth="1" min="17" max="17"/>
    <col width="32" customWidth="1" min="18" max="18"/>
    <col width="33" customWidth="1" min="19" max="19"/>
    <col width="42" customWidth="1" min="20" max="20"/>
    <col width="22" customWidth="1" min="21" max="21"/>
    <col width="39" customWidth="1" min="22" max="22"/>
    <col width="47" customWidth="1" min="23" max="23"/>
    <col width="52" customWidth="1" min="24" max="24"/>
    <col width="30" customWidth="1" min="25" max="25"/>
    <col width="31" customWidth="1" min="26" max="26"/>
    <col width="30" customWidth="1" min="27" max="27"/>
    <col width="26" customWidth="1" min="28" max="28"/>
    <col width="27" customWidth="1" min="29" max="29"/>
    <col width="33" customWidth="1" min="30" max="30"/>
    <col width="15" customWidth="1" min="31" max="31"/>
    <col width="45" customWidth="1" min="32" max="32"/>
    <col width="44" customWidth="1" min="33" max="33"/>
    <col width="20" customWidth="1" min="34" max="34"/>
    <col width="33" customWidth="1" min="35" max="35"/>
    <col width="23" customWidth="1" min="36" max="36"/>
    <col width="55" customWidth="1" min="37" max="37"/>
    <col width="55" customWidth="1" min="38" max="38"/>
    <col width="39" customWidth="1" min="39" max="39"/>
    <col width="31" customWidth="1" min="40" max="40"/>
    <col width="39" customWidth="1" min="41" max="41"/>
    <col width="39" customWidth="1" min="42" max="42"/>
    <col width="40" customWidth="1" min="43" max="43"/>
  </cols>
  <sheetData>
    <row r="1">
      <c r="A1" s="1" t="inlineStr">
        <is>
          <t>BẢNG DỮ LIỆU THỰC ĐỊA VÀ MÔ HÌNH ĐIỀU PHỐI CHUỖI LẠNH 3 LỚP FROSTLINK (92 NGÀY - THÁNG 5, 6, 7/2026)</t>
        </is>
      </c>
    </row>
    <row r="2">
      <c r="A2" s="2" t="inlineStr">
        <is>
          <t>Ngày</t>
        </is>
      </c>
      <c r="B2" s="3" t="inlineStr">
        <is>
          <t>Temp_t (°C)</t>
        </is>
      </c>
      <c r="C2" s="3" t="inlineStr">
        <is>
          <t>Rain_t (mm)</t>
        </is>
      </c>
      <c r="D2" s="3" t="inlineStr">
        <is>
          <t>Ripe_t (%)</t>
        </is>
      </c>
      <c r="E2" s="3" t="inlineStr">
        <is>
          <t>Order_t (Tấn)</t>
        </is>
      </c>
      <c r="F2" s="3" t="inlineStr">
        <is>
          <t>PeakDay_t (0/1)</t>
        </is>
      </c>
      <c r="G2" s="4" t="inlineStr">
        <is>
          <t>Sản lượng thu hoạch (Tấn)</t>
        </is>
      </c>
      <c r="H2" s="4" t="inlineStr">
        <is>
          <t>Sản lượng đi xe lạnh (Tấn)</t>
        </is>
      </c>
      <c r="I2" s="5" t="inlineStr">
        <is>
          <t>Nhiệt độ yêu cầu (°C)</t>
        </is>
      </c>
      <c r="J2" s="6" t="inlineStr">
        <is>
          <t>Thực tế - Cont 40ft (18T*0.95)</t>
        </is>
      </c>
      <c r="K2" s="6" t="inlineStr">
        <is>
          <t>Thực tế - Vải dư lẻ (Tấn)</t>
        </is>
      </c>
      <c r="L2" s="6" t="inlineStr">
        <is>
          <t>Thực tế - Xe 5T (5T*0.95)</t>
        </is>
      </c>
      <c r="M2" s="7" t="inlineStr">
        <is>
          <t>Thực tế - Tổng số xe</t>
        </is>
      </c>
      <c r="N2" s="8" t="inlineStr">
        <is>
          <t>Dự báo T+7 (Tấn)</t>
        </is>
      </c>
      <c r="O2" s="8" t="inlineStr">
        <is>
          <t>Dự báo T+3 (Tấn)</t>
        </is>
      </c>
      <c r="P2" s="8" t="inlineStr">
        <is>
          <t>Dự báo T+1 (Tấn)</t>
        </is>
      </c>
      <c r="Q2" s="8" t="inlineStr">
        <is>
          <t>Dự báo - Sản lượng lạnh (Tấn)</t>
        </is>
      </c>
      <c r="R2" s="9" t="inlineStr">
        <is>
          <t>Dự báo - Cont 40ft (18T*0.95)</t>
        </is>
      </c>
      <c r="S2" s="9" t="inlineStr">
        <is>
          <t>Dự báo - Vải dư lẻ (Tấn)</t>
        </is>
      </c>
      <c r="T2" s="9" t="inlineStr">
        <is>
          <t>Dự báo - Xe 5T (5T*0.95)</t>
        </is>
      </c>
      <c r="U2" s="10" t="inlineStr">
        <is>
          <t>Dự báo - Tổng số xe</t>
        </is>
      </c>
      <c r="V2" s="11" t="inlineStr">
        <is>
          <t>Lớp 1 - Cam kết cứng (70% Cont 40ft)</t>
        </is>
      </c>
      <c r="W2" s="11" t="inlineStr">
        <is>
          <t>Lớp 2 - Quyền chọn linh hoạt (20%)</t>
        </is>
      </c>
      <c r="X2" s="11" t="inlineStr">
        <is>
          <t>Trạng thái Lớp 2 (Hủy khi Mưa &gt; 20mm)</t>
        </is>
      </c>
      <c r="Y2" s="11" t="inlineStr">
        <is>
          <t>Lớp 2 - Thực chạy Cont 40ft</t>
        </is>
      </c>
      <c r="Z2" s="12" t="inlineStr">
        <is>
          <t>Chi phí phạt cọc Lớp 2 (VNĐ)</t>
        </is>
      </c>
      <c r="AA2" s="11" t="inlineStr">
        <is>
          <t>Lớp 3 - Giao ngay Cont 40ft</t>
        </is>
      </c>
      <c r="AB2" s="13" t="inlineStr">
        <is>
          <t>Điều động Xe 5T thực tế</t>
        </is>
      </c>
      <c r="AC2" s="6" t="inlineStr">
        <is>
          <t>Tổng Cont 40ft thực chạy</t>
        </is>
      </c>
      <c r="AD2" s="7" t="inlineStr">
        <is>
          <t>Tổng số xe FrostLink thực chạy</t>
        </is>
      </c>
      <c r="AE2" s="14" t="inlineStr">
        <is>
          <t>Số xe sẵn có</t>
        </is>
      </c>
      <c r="AF2" s="3" t="inlineStr">
        <is>
          <t>Giá cước Cont 40ft (VNĐ)</t>
        </is>
      </c>
      <c r="AG2" s="3" t="inlineStr">
        <is>
          <t>Giá cước Xe 5T (VNĐ)</t>
        </is>
      </c>
      <c r="AH2" s="14" t="inlineStr">
        <is>
          <t>Tỷ lệ hư hỏng (%)</t>
        </is>
      </c>
      <c r="AI2" s="2" t="inlineStr">
        <is>
          <t>Baseline (Dự báo số Cont 40ft)</t>
        </is>
      </c>
      <c r="AJ2" s="2" t="inlineStr">
        <is>
          <t>Baseline - Sai số xe</t>
        </is>
      </c>
      <c r="AK2" s="12" t="inlineStr">
        <is>
          <t>Baseline - C_over (VNĐ)</t>
        </is>
      </c>
      <c r="AL2" s="12" t="inlineStr">
        <is>
          <t>Baseline - C_under (VNĐ)</t>
        </is>
      </c>
      <c r="AM2" s="15" t="inlineStr">
        <is>
          <t>Baseline - Tổng chi phí rủi ro (VNĐ)</t>
        </is>
      </c>
      <c r="AN2" s="4" t="inlineStr">
        <is>
          <t>FrostLink - Sai số Cont 40ft</t>
        </is>
      </c>
      <c r="AO2" s="4" t="inlineStr">
        <is>
          <t>FrostLink - C_over Cont 40ft (VNĐ)</t>
        </is>
      </c>
      <c r="AP2" s="4" t="inlineStr">
        <is>
          <t>FrostLink - C_under Cont 40ft (VNĐ)</t>
        </is>
      </c>
      <c r="AQ2" s="16" t="inlineStr">
        <is>
          <t>FrostLink - Tổng chi phí rủi ro (VNĐ)</t>
        </is>
      </c>
    </row>
    <row r="3">
      <c r="A3" s="17" t="inlineStr">
        <is>
          <t>Ngày 01 (01/05)</t>
        </is>
      </c>
      <c r="B3" s="18" t="n">
        <v>24.4</v>
      </c>
      <c r="C3" s="18" t="n">
        <v>0</v>
      </c>
      <c r="D3" s="18" t="n">
        <v>0.11</v>
      </c>
      <c r="E3" s="18" t="n">
        <v>55.7</v>
      </c>
      <c r="F3" s="18" t="n">
        <v>1</v>
      </c>
      <c r="G3" s="18" t="n">
        <v>65.5</v>
      </c>
      <c r="H3" s="18">
        <f>G3*IF(F3=1, 0.85, 0.8)</f>
        <v/>
      </c>
      <c r="I3" s="17" t="inlineStr">
        <is>
          <t>2-4</t>
        </is>
      </c>
      <c r="J3" s="18">
        <f>INT(H3/(18*0.95))</f>
        <v/>
      </c>
      <c r="K3" s="18">
        <f>ROUND(MOD(H3, (18*0.95)), 2)</f>
        <v/>
      </c>
      <c r="L3" s="18">
        <f>IF(K3&gt;0, ROUNDUP(K3/(5*0.95), 0), 0)</f>
        <v/>
      </c>
      <c r="M3" s="18">
        <f>J3+L3</f>
        <v/>
      </c>
      <c r="N3" s="18">
        <f>ROUND(TREND(G$3:G$94, E$3:E$94, E3), 1)</f>
        <v/>
      </c>
      <c r="O3" s="18">
        <f>ROUND(TREND(G$3:G$94, B$3:E$94, B3:E3), 1)</f>
        <v/>
      </c>
      <c r="P3" s="18">
        <f>ROUND(TREND(G$3:G$94, B$3:F$94, B3:F3), 1)</f>
        <v/>
      </c>
      <c r="Q3" s="18">
        <f>P3*IF(F3=1, 0.85, 0.8)</f>
        <v/>
      </c>
      <c r="R3" s="18">
        <f>INT(Q3/(18*0.95))</f>
        <v/>
      </c>
      <c r="S3" s="18">
        <f>ROUND(MOD(Q3, (18*0.95)), 2)</f>
        <v/>
      </c>
      <c r="T3" s="18">
        <f>IF(S3&gt;0, ROUNDUP(S3/(5*0.95), 0), 0)</f>
        <v/>
      </c>
      <c r="U3" s="18">
        <f>R3+T3</f>
        <v/>
      </c>
      <c r="V3" s="18">
        <f>ROUND(R3*70%, 0)</f>
        <v/>
      </c>
      <c r="W3" s="18">
        <f>MIN(ROUNDUP(R3*0.2, 0), MAX(0, R3 - V3))</f>
        <v/>
      </c>
      <c r="X3" s="17">
        <f>IF(C3&gt;20, "Hủy slot (Mưa &gt; 20mm)", "Kích hoạt")</f>
        <v/>
      </c>
      <c r="Y3" s="18">
        <f>IF(C3&gt;20, 0, W3)</f>
        <v/>
      </c>
      <c r="Z3" s="18">
        <f>IF(C3&gt;20, W3*0.2*AF3, 0)</f>
        <v/>
      </c>
      <c r="AA3" s="18">
        <f>MAX(0, J3 - V3 - Y3)</f>
        <v/>
      </c>
      <c r="AB3" s="18">
        <f>L3</f>
        <v/>
      </c>
      <c r="AC3" s="18">
        <f>V3 + Y3 + AA3</f>
        <v/>
      </c>
      <c r="AD3" s="18">
        <f>AC3 + AB3</f>
        <v/>
      </c>
      <c r="AE3" s="18" t="n">
        <v>9</v>
      </c>
      <c r="AF3" s="18">
        <f>IF(OR(B3&gt;=34, F3=1), 11700000, 9000000)</f>
        <v/>
      </c>
      <c r="AG3" s="18">
        <f>IF(OR(B3&gt;=34, F3=1), 4550000, 3500000)</f>
        <v/>
      </c>
      <c r="AH3" s="18" t="n">
        <v>0.02</v>
      </c>
      <c r="AI3" s="18" t="n"/>
      <c r="AJ3" s="18" t="n"/>
      <c r="AK3" s="18">
        <f>IF(AI3="", 0, IF(AI3&gt;J3, (AI3-J3)*2700000, 0))</f>
        <v/>
      </c>
      <c r="AL3" s="18">
        <f>IF(AI3="", 0, IF(J3&gt;AI3, (J3-AI3)*6000000, 0))</f>
        <v/>
      </c>
      <c r="AM3" s="18">
        <f>AK3 + AL3</f>
        <v/>
      </c>
      <c r="AN3" s="18">
        <f>ABS(AC3 - J3)</f>
        <v/>
      </c>
      <c r="AO3" s="18">
        <f>IF(AC3&gt;J3, (AC3-J3)*2700000, 0)</f>
        <v/>
      </c>
      <c r="AP3" s="18">
        <f>IF(J3&gt;AC3, (J3-AC3)*6000000, 0)</f>
        <v/>
      </c>
      <c r="AQ3" s="18">
        <f>AO3 + AP3 + Z3</f>
        <v/>
      </c>
    </row>
    <row r="4">
      <c r="A4" s="17" t="inlineStr">
        <is>
          <t>Ngày 02 (02/05)</t>
        </is>
      </c>
      <c r="B4" s="18" t="n">
        <v>26.7</v>
      </c>
      <c r="C4" s="18" t="n">
        <v>0</v>
      </c>
      <c r="D4" s="18" t="n">
        <v>0.12</v>
      </c>
      <c r="E4" s="18" t="n">
        <v>32.3</v>
      </c>
      <c r="F4" s="18" t="n">
        <v>0</v>
      </c>
      <c r="G4" s="18" t="n">
        <v>20</v>
      </c>
      <c r="H4" s="18">
        <f>G4*IF(F4=1, 0.85, 0.8)</f>
        <v/>
      </c>
      <c r="I4" s="17" t="inlineStr">
        <is>
          <t>2-4</t>
        </is>
      </c>
      <c r="J4" s="18">
        <f>INT(H4/(18*0.95))</f>
        <v/>
      </c>
      <c r="K4" s="18">
        <f>ROUND(MOD(H4, (18*0.95)), 2)</f>
        <v/>
      </c>
      <c r="L4" s="18">
        <f>IF(K4&gt;0, ROUNDUP(K4/(5*0.95), 0), 0)</f>
        <v/>
      </c>
      <c r="M4" s="18">
        <f>J4+L4</f>
        <v/>
      </c>
      <c r="N4" s="18">
        <f>ROUND(TREND(G$3:G$94, E$3:E$94, E4), 1)</f>
        <v/>
      </c>
      <c r="O4" s="18">
        <f>ROUND(TREND(G$3:G$94, B$3:E$94, B4:E4), 1)</f>
        <v/>
      </c>
      <c r="P4" s="18">
        <f>ROUND(TREND(G$3:G$94, B$3:F$94, B4:F4), 1)</f>
        <v/>
      </c>
      <c r="Q4" s="18">
        <f>P4*IF(F4=1, 0.85, 0.8)</f>
        <v/>
      </c>
      <c r="R4" s="18">
        <f>INT(Q4/(18*0.95))</f>
        <v/>
      </c>
      <c r="S4" s="18">
        <f>ROUND(MOD(Q4, (18*0.95)), 2)</f>
        <v/>
      </c>
      <c r="T4" s="18">
        <f>IF(S4&gt;0, ROUNDUP(S4/(5*0.95), 0), 0)</f>
        <v/>
      </c>
      <c r="U4" s="18">
        <f>R4+T4</f>
        <v/>
      </c>
      <c r="V4" s="18">
        <f>ROUND(R4*70%, 0)</f>
        <v/>
      </c>
      <c r="W4" s="18">
        <f>MIN(ROUNDUP(R4*0.2, 0), MAX(0, R4 - V4))</f>
        <v/>
      </c>
      <c r="X4" s="17">
        <f>IF(C4&gt;20, "Hủy slot (Mưa &gt; 20mm)", "Kích hoạt")</f>
        <v/>
      </c>
      <c r="Y4" s="18">
        <f>IF(C4&gt;20, 0, W4)</f>
        <v/>
      </c>
      <c r="Z4" s="18">
        <f>IF(C4&gt;20, W4*0.2*AF4, 0)</f>
        <v/>
      </c>
      <c r="AA4" s="18">
        <f>MAX(0, J4 - V4 - Y4)</f>
        <v/>
      </c>
      <c r="AB4" s="18">
        <f>L4</f>
        <v/>
      </c>
      <c r="AC4" s="18">
        <f>V4 + Y4 + AA4</f>
        <v/>
      </c>
      <c r="AD4" s="18">
        <f>AC4 + AB4</f>
        <v/>
      </c>
      <c r="AE4" s="18" t="n">
        <v>9</v>
      </c>
      <c r="AF4" s="18">
        <f>IF(OR(B4&gt;=34, F4=1), 11700000, 9000000)</f>
        <v/>
      </c>
      <c r="AG4" s="18">
        <f>IF(OR(B4&gt;=34, F4=1), 4550000, 3500000)</f>
        <v/>
      </c>
      <c r="AH4" s="18" t="n">
        <v>0.02</v>
      </c>
      <c r="AI4" s="18" t="n"/>
      <c r="AJ4" s="18" t="n"/>
      <c r="AK4" s="18">
        <f>IF(AI4="", 0, IF(AI4&gt;J4, (AI4-J4)*2700000, 0))</f>
        <v/>
      </c>
      <c r="AL4" s="18">
        <f>IF(AI4="", 0, IF(J4&gt;AI4, (J4-AI4)*6000000, 0))</f>
        <v/>
      </c>
      <c r="AM4" s="18">
        <f>AK4 + AL4</f>
        <v/>
      </c>
      <c r="AN4" s="18">
        <f>ABS(AC4 - J4)</f>
        <v/>
      </c>
      <c r="AO4" s="18">
        <f>IF(AC4&gt;J4, (AC4-J4)*2700000, 0)</f>
        <v/>
      </c>
      <c r="AP4" s="18">
        <f>IF(J4&gt;AC4, (J4-AC4)*6000000, 0)</f>
        <v/>
      </c>
      <c r="AQ4" s="18">
        <f>AO4 + AP4 + Z4</f>
        <v/>
      </c>
    </row>
    <row r="5">
      <c r="A5" s="17" t="inlineStr">
        <is>
          <t>Ngày 03 (03/05)</t>
        </is>
      </c>
      <c r="B5" s="18" t="n">
        <v>26.8</v>
      </c>
      <c r="C5" s="18" t="n">
        <v>0</v>
      </c>
      <c r="D5" s="18" t="n">
        <v>0.14</v>
      </c>
      <c r="E5" s="18" t="n">
        <v>37.2</v>
      </c>
      <c r="F5" s="18" t="n">
        <v>0</v>
      </c>
      <c r="G5" s="18" t="n">
        <v>20</v>
      </c>
      <c r="H5" s="18">
        <f>G5*IF(F5=1, 0.85, 0.8)</f>
        <v/>
      </c>
      <c r="I5" s="17" t="inlineStr">
        <is>
          <t>2-4</t>
        </is>
      </c>
      <c r="J5" s="18">
        <f>INT(H5/(18*0.95))</f>
        <v/>
      </c>
      <c r="K5" s="18">
        <f>ROUND(MOD(H5, (18*0.95)), 2)</f>
        <v/>
      </c>
      <c r="L5" s="18">
        <f>IF(K5&gt;0, ROUNDUP(K5/(5*0.95), 0), 0)</f>
        <v/>
      </c>
      <c r="M5" s="18">
        <f>J5+L5</f>
        <v/>
      </c>
      <c r="N5" s="18">
        <f>ROUND(TREND(G$3:G$94, E$3:E$94, E5), 1)</f>
        <v/>
      </c>
      <c r="O5" s="18">
        <f>ROUND(TREND(G$3:G$94, B$3:E$94, B5:E5), 1)</f>
        <v/>
      </c>
      <c r="P5" s="18">
        <f>ROUND(TREND(G$3:G$94, B$3:F$94, B5:F5), 1)</f>
        <v/>
      </c>
      <c r="Q5" s="18">
        <f>P5*IF(F5=1, 0.85, 0.8)</f>
        <v/>
      </c>
      <c r="R5" s="18">
        <f>INT(Q5/(18*0.95))</f>
        <v/>
      </c>
      <c r="S5" s="18">
        <f>ROUND(MOD(Q5, (18*0.95)), 2)</f>
        <v/>
      </c>
      <c r="T5" s="18">
        <f>IF(S5&gt;0, ROUNDUP(S5/(5*0.95), 0), 0)</f>
        <v/>
      </c>
      <c r="U5" s="18">
        <f>R5+T5</f>
        <v/>
      </c>
      <c r="V5" s="18">
        <f>ROUND(R5*70%, 0)</f>
        <v/>
      </c>
      <c r="W5" s="18">
        <f>MIN(ROUNDUP(R5*0.2, 0), MAX(0, R5 - V5))</f>
        <v/>
      </c>
      <c r="X5" s="17">
        <f>IF(C5&gt;20, "Hủy slot (Mưa &gt; 20mm)", "Kích hoạt")</f>
        <v/>
      </c>
      <c r="Y5" s="18">
        <f>IF(C5&gt;20, 0, W5)</f>
        <v/>
      </c>
      <c r="Z5" s="18">
        <f>IF(C5&gt;20, W5*0.2*AF5, 0)</f>
        <v/>
      </c>
      <c r="AA5" s="18">
        <f>MAX(0, J5 - V5 - Y5)</f>
        <v/>
      </c>
      <c r="AB5" s="18">
        <f>L5</f>
        <v/>
      </c>
      <c r="AC5" s="18">
        <f>V5 + Y5 + AA5</f>
        <v/>
      </c>
      <c r="AD5" s="18">
        <f>AC5 + AB5</f>
        <v/>
      </c>
      <c r="AE5" s="18" t="n">
        <v>9</v>
      </c>
      <c r="AF5" s="18">
        <f>IF(OR(B5&gt;=34, F5=1), 11700000, 9000000)</f>
        <v/>
      </c>
      <c r="AG5" s="18">
        <f>IF(OR(B5&gt;=34, F5=1), 4550000, 3500000)</f>
        <v/>
      </c>
      <c r="AH5" s="18" t="n">
        <v>0.02</v>
      </c>
      <c r="AI5" s="18" t="n"/>
      <c r="AJ5" s="18" t="n"/>
      <c r="AK5" s="18">
        <f>IF(AI5="", 0, IF(AI5&gt;J5, (AI5-J5)*2700000, 0))</f>
        <v/>
      </c>
      <c r="AL5" s="18">
        <f>IF(AI5="", 0, IF(J5&gt;AI5, (J5-AI5)*6000000, 0))</f>
        <v/>
      </c>
      <c r="AM5" s="18">
        <f>AK5 + AL5</f>
        <v/>
      </c>
      <c r="AN5" s="18">
        <f>ABS(AC5 - J5)</f>
        <v/>
      </c>
      <c r="AO5" s="18">
        <f>IF(AC5&gt;J5, (AC5-J5)*2700000, 0)</f>
        <v/>
      </c>
      <c r="AP5" s="18">
        <f>IF(J5&gt;AC5, (J5-AC5)*6000000, 0)</f>
        <v/>
      </c>
      <c r="AQ5" s="18">
        <f>AO5 + AP5 + Z5</f>
        <v/>
      </c>
    </row>
    <row r="6">
      <c r="A6" s="17" t="inlineStr">
        <is>
          <t>Ngày 04 (04/05)</t>
        </is>
      </c>
      <c r="B6" s="18" t="n">
        <v>26.2</v>
      </c>
      <c r="C6" s="18" t="n">
        <v>0</v>
      </c>
      <c r="D6" s="18" t="n">
        <v>0.15</v>
      </c>
      <c r="E6" s="18" t="n">
        <v>35.2</v>
      </c>
      <c r="F6" s="18" t="n">
        <v>0</v>
      </c>
      <c r="G6" s="18" t="n">
        <v>31.1</v>
      </c>
      <c r="H6" s="18">
        <f>G6*IF(F6=1, 0.85, 0.8)</f>
        <v/>
      </c>
      <c r="I6" s="17" t="inlineStr">
        <is>
          <t>2-4</t>
        </is>
      </c>
      <c r="J6" s="18">
        <f>INT(H6/(18*0.95))</f>
        <v/>
      </c>
      <c r="K6" s="18">
        <f>ROUND(MOD(H6, (18*0.95)), 2)</f>
        <v/>
      </c>
      <c r="L6" s="18">
        <f>IF(K6&gt;0, ROUNDUP(K6/(5*0.95), 0), 0)</f>
        <v/>
      </c>
      <c r="M6" s="18">
        <f>J6+L6</f>
        <v/>
      </c>
      <c r="N6" s="18">
        <f>ROUND(TREND(G$3:G$94, E$3:E$94, E6), 1)</f>
        <v/>
      </c>
      <c r="O6" s="18">
        <f>ROUND(TREND(G$3:G$94, B$3:E$94, B6:E6), 1)</f>
        <v/>
      </c>
      <c r="P6" s="18">
        <f>ROUND(TREND(G$3:G$94, B$3:F$94, B6:F6), 1)</f>
        <v/>
      </c>
      <c r="Q6" s="18">
        <f>P6*IF(F6=1, 0.85, 0.8)</f>
        <v/>
      </c>
      <c r="R6" s="18">
        <f>INT(Q6/(18*0.95))</f>
        <v/>
      </c>
      <c r="S6" s="18">
        <f>ROUND(MOD(Q6, (18*0.95)), 2)</f>
        <v/>
      </c>
      <c r="T6" s="18">
        <f>IF(S6&gt;0, ROUNDUP(S6/(5*0.95), 0), 0)</f>
        <v/>
      </c>
      <c r="U6" s="18">
        <f>R6+T6</f>
        <v/>
      </c>
      <c r="V6" s="18">
        <f>ROUND(R6*70%, 0)</f>
        <v/>
      </c>
      <c r="W6" s="18">
        <f>MIN(ROUNDUP(R6*0.2, 0), MAX(0, R6 - V6))</f>
        <v/>
      </c>
      <c r="X6" s="17">
        <f>IF(C6&gt;20, "Hủy slot (Mưa &gt; 20mm)", "Kích hoạt")</f>
        <v/>
      </c>
      <c r="Y6" s="18">
        <f>IF(C6&gt;20, 0, W6)</f>
        <v/>
      </c>
      <c r="Z6" s="18">
        <f>IF(C6&gt;20, W6*0.2*AF6, 0)</f>
        <v/>
      </c>
      <c r="AA6" s="18">
        <f>MAX(0, J6 - V6 - Y6)</f>
        <v/>
      </c>
      <c r="AB6" s="18">
        <f>L6</f>
        <v/>
      </c>
      <c r="AC6" s="18">
        <f>V6 + Y6 + AA6</f>
        <v/>
      </c>
      <c r="AD6" s="18">
        <f>AC6 + AB6</f>
        <v/>
      </c>
      <c r="AE6" s="18" t="n">
        <v>9</v>
      </c>
      <c r="AF6" s="18">
        <f>IF(OR(B6&gt;=34, F6=1), 11700000, 9000000)</f>
        <v/>
      </c>
      <c r="AG6" s="18">
        <f>IF(OR(B6&gt;=34, F6=1), 4550000, 3500000)</f>
        <v/>
      </c>
      <c r="AH6" s="18" t="n">
        <v>0.02</v>
      </c>
      <c r="AI6" s="18">
        <f>AVERAGE(J3:J5)</f>
        <v/>
      </c>
      <c r="AJ6" s="18">
        <f>ABS(J6 - AI6)</f>
        <v/>
      </c>
      <c r="AK6" s="18">
        <f>IF(AI6="", 0, IF(AI6&gt;J6, (AI6-J6)*2700000, 0))</f>
        <v/>
      </c>
      <c r="AL6" s="18">
        <f>IF(AI6="", 0, IF(J6&gt;AI6, (J6-AI6)*6000000, 0))</f>
        <v/>
      </c>
      <c r="AM6" s="18">
        <f>AK6 + AL6</f>
        <v/>
      </c>
      <c r="AN6" s="18">
        <f>ABS(AC6 - J6)</f>
        <v/>
      </c>
      <c r="AO6" s="18">
        <f>IF(AC6&gt;J6, (AC6-J6)*2700000, 0)</f>
        <v/>
      </c>
      <c r="AP6" s="18">
        <f>IF(J6&gt;AC6, (J6-AC6)*6000000, 0)</f>
        <v/>
      </c>
      <c r="AQ6" s="18">
        <f>AO6 + AP6 + Z6</f>
        <v/>
      </c>
    </row>
    <row r="7">
      <c r="A7" s="17" t="inlineStr">
        <is>
          <t>Ngày 05 (05/05)</t>
        </is>
      </c>
      <c r="B7" s="18" t="n">
        <v>26.5</v>
      </c>
      <c r="C7" s="18" t="n">
        <v>15</v>
      </c>
      <c r="D7" s="18" t="n">
        <v>0.16</v>
      </c>
      <c r="E7" s="18" t="n">
        <v>42.4</v>
      </c>
      <c r="F7" s="18" t="n">
        <v>0</v>
      </c>
      <c r="G7" s="18" t="n">
        <v>48</v>
      </c>
      <c r="H7" s="18">
        <f>G7*IF(F7=1, 0.85, 0.8)</f>
        <v/>
      </c>
      <c r="I7" s="17" t="inlineStr">
        <is>
          <t>2-4</t>
        </is>
      </c>
      <c r="J7" s="18">
        <f>INT(H7/(18*0.95))</f>
        <v/>
      </c>
      <c r="K7" s="18">
        <f>ROUND(MOD(H7, (18*0.95)), 2)</f>
        <v/>
      </c>
      <c r="L7" s="18">
        <f>IF(K7&gt;0, ROUNDUP(K7/(5*0.95), 0), 0)</f>
        <v/>
      </c>
      <c r="M7" s="18">
        <f>J7+L7</f>
        <v/>
      </c>
      <c r="N7" s="18">
        <f>ROUND(TREND(G$3:G$94, E$3:E$94, E7), 1)</f>
        <v/>
      </c>
      <c r="O7" s="18">
        <f>ROUND(TREND(G$3:G$94, B$3:E$94, B7:E7), 1)</f>
        <v/>
      </c>
      <c r="P7" s="18">
        <f>ROUND(TREND(G$3:G$94, B$3:F$94, B7:F7), 1)</f>
        <v/>
      </c>
      <c r="Q7" s="18">
        <f>P7*IF(F7=1, 0.85, 0.8)</f>
        <v/>
      </c>
      <c r="R7" s="18">
        <f>INT(Q7/(18*0.95))</f>
        <v/>
      </c>
      <c r="S7" s="18">
        <f>ROUND(MOD(Q7, (18*0.95)), 2)</f>
        <v/>
      </c>
      <c r="T7" s="18">
        <f>IF(S7&gt;0, ROUNDUP(S7/(5*0.95), 0), 0)</f>
        <v/>
      </c>
      <c r="U7" s="18">
        <f>R7+T7</f>
        <v/>
      </c>
      <c r="V7" s="18">
        <f>ROUND(R7*70%, 0)</f>
        <v/>
      </c>
      <c r="W7" s="18">
        <f>MIN(ROUNDUP(R7*0.2, 0), MAX(0, R7 - V7))</f>
        <v/>
      </c>
      <c r="X7" s="17">
        <f>IF(C7&gt;20, "Hủy slot (Mưa &gt; 20mm)", "Kích hoạt")</f>
        <v/>
      </c>
      <c r="Y7" s="18">
        <f>IF(C7&gt;20, 0, W7)</f>
        <v/>
      </c>
      <c r="Z7" s="18">
        <f>IF(C7&gt;20, W7*0.2*AF7, 0)</f>
        <v/>
      </c>
      <c r="AA7" s="18">
        <f>MAX(0, J7 - V7 - Y7)</f>
        <v/>
      </c>
      <c r="AB7" s="18">
        <f>L7</f>
        <v/>
      </c>
      <c r="AC7" s="18">
        <f>V7 + Y7 + AA7</f>
        <v/>
      </c>
      <c r="AD7" s="18">
        <f>AC7 + AB7</f>
        <v/>
      </c>
      <c r="AE7" s="18" t="n">
        <v>9</v>
      </c>
      <c r="AF7" s="18">
        <f>IF(OR(B7&gt;=34, F7=1), 11700000, 9000000)</f>
        <v/>
      </c>
      <c r="AG7" s="18">
        <f>IF(OR(B7&gt;=34, F7=1), 4550000, 3500000)</f>
        <v/>
      </c>
      <c r="AH7" s="18" t="n">
        <v>0.02</v>
      </c>
      <c r="AI7" s="18">
        <f>AVERAGE(J4:J6)</f>
        <v/>
      </c>
      <c r="AJ7" s="18">
        <f>ABS(J7 - AI7)</f>
        <v/>
      </c>
      <c r="AK7" s="18">
        <f>IF(AI7="", 0, IF(AI7&gt;J7, (AI7-J7)*2700000, 0))</f>
        <v/>
      </c>
      <c r="AL7" s="18">
        <f>IF(AI7="", 0, IF(J7&gt;AI7, (J7-AI7)*6000000, 0))</f>
        <v/>
      </c>
      <c r="AM7" s="18">
        <f>AK7 + AL7</f>
        <v/>
      </c>
      <c r="AN7" s="18">
        <f>ABS(AC7 - J7)</f>
        <v/>
      </c>
      <c r="AO7" s="18">
        <f>IF(AC7&gt;J7, (AC7-J7)*2700000, 0)</f>
        <v/>
      </c>
      <c r="AP7" s="18">
        <f>IF(J7&gt;AC7, (J7-AC7)*6000000, 0)</f>
        <v/>
      </c>
      <c r="AQ7" s="18">
        <f>AO7 + AP7 + Z7</f>
        <v/>
      </c>
    </row>
    <row r="8">
      <c r="A8" s="17" t="inlineStr">
        <is>
          <t>Ngày 06 (06/05)</t>
        </is>
      </c>
      <c r="B8" s="18" t="n">
        <v>28.6</v>
      </c>
      <c r="C8" s="18" t="n">
        <v>0</v>
      </c>
      <c r="D8" s="18" t="n">
        <v>0.17</v>
      </c>
      <c r="E8" s="18" t="n">
        <v>52.3</v>
      </c>
      <c r="F8" s="18" t="n">
        <v>0</v>
      </c>
      <c r="G8" s="18" t="n">
        <v>60.2</v>
      </c>
      <c r="H8" s="18">
        <f>G8*IF(F8=1, 0.85, 0.8)</f>
        <v/>
      </c>
      <c r="I8" s="17" t="inlineStr">
        <is>
          <t>2-4</t>
        </is>
      </c>
      <c r="J8" s="18">
        <f>INT(H8/(18*0.95))</f>
        <v/>
      </c>
      <c r="K8" s="18">
        <f>ROUND(MOD(H8, (18*0.95)), 2)</f>
        <v/>
      </c>
      <c r="L8" s="18">
        <f>IF(K8&gt;0, ROUNDUP(K8/(5*0.95), 0), 0)</f>
        <v/>
      </c>
      <c r="M8" s="18">
        <f>J8+L8</f>
        <v/>
      </c>
      <c r="N8" s="18">
        <f>ROUND(TREND(G$3:G$94, E$3:E$94, E8), 1)</f>
        <v/>
      </c>
      <c r="O8" s="18">
        <f>ROUND(TREND(G$3:G$94, B$3:E$94, B8:E8), 1)</f>
        <v/>
      </c>
      <c r="P8" s="18">
        <f>ROUND(TREND(G$3:G$94, B$3:F$94, B8:F8), 1)</f>
        <v/>
      </c>
      <c r="Q8" s="18">
        <f>P8*IF(F8=1, 0.85, 0.8)</f>
        <v/>
      </c>
      <c r="R8" s="18">
        <f>INT(Q8/(18*0.95))</f>
        <v/>
      </c>
      <c r="S8" s="18">
        <f>ROUND(MOD(Q8, (18*0.95)), 2)</f>
        <v/>
      </c>
      <c r="T8" s="18">
        <f>IF(S8&gt;0, ROUNDUP(S8/(5*0.95), 0), 0)</f>
        <v/>
      </c>
      <c r="U8" s="18">
        <f>R8+T8</f>
        <v/>
      </c>
      <c r="V8" s="18">
        <f>ROUND(R8*70%, 0)</f>
        <v/>
      </c>
      <c r="W8" s="18">
        <f>MIN(ROUNDUP(R8*0.2, 0), MAX(0, R8 - V8))</f>
        <v/>
      </c>
      <c r="X8" s="17">
        <f>IF(C8&gt;20, "Hủy slot (Mưa &gt; 20mm)", "Kích hoạt")</f>
        <v/>
      </c>
      <c r="Y8" s="18">
        <f>IF(C8&gt;20, 0, W8)</f>
        <v/>
      </c>
      <c r="Z8" s="18">
        <f>IF(C8&gt;20, W8*0.2*AF8, 0)</f>
        <v/>
      </c>
      <c r="AA8" s="18">
        <f>MAX(0, J8 - V8 - Y8)</f>
        <v/>
      </c>
      <c r="AB8" s="18">
        <f>L8</f>
        <v/>
      </c>
      <c r="AC8" s="18">
        <f>V8 + Y8 + AA8</f>
        <v/>
      </c>
      <c r="AD8" s="18">
        <f>AC8 + AB8</f>
        <v/>
      </c>
      <c r="AE8" s="18" t="n">
        <v>9</v>
      </c>
      <c r="AF8" s="18">
        <f>IF(OR(B8&gt;=34, F8=1), 11700000, 9000000)</f>
        <v/>
      </c>
      <c r="AG8" s="18">
        <f>IF(OR(B8&gt;=34, F8=1), 4550000, 3500000)</f>
        <v/>
      </c>
      <c r="AH8" s="18" t="n">
        <v>0.02</v>
      </c>
      <c r="AI8" s="18">
        <f>AVERAGE(J5:J7)</f>
        <v/>
      </c>
      <c r="AJ8" s="18">
        <f>ABS(J8 - AI8)</f>
        <v/>
      </c>
      <c r="AK8" s="18">
        <f>IF(AI8="", 0, IF(AI8&gt;J8, (AI8-J8)*2700000, 0))</f>
        <v/>
      </c>
      <c r="AL8" s="18">
        <f>IF(AI8="", 0, IF(J8&gt;AI8, (J8-AI8)*6000000, 0))</f>
        <v/>
      </c>
      <c r="AM8" s="18">
        <f>AK8 + AL8</f>
        <v/>
      </c>
      <c r="AN8" s="18">
        <f>ABS(AC8 - J8)</f>
        <v/>
      </c>
      <c r="AO8" s="18">
        <f>IF(AC8&gt;J8, (AC8-J8)*2700000, 0)</f>
        <v/>
      </c>
      <c r="AP8" s="18">
        <f>IF(J8&gt;AC8, (J8-AC8)*6000000, 0)</f>
        <v/>
      </c>
      <c r="AQ8" s="18">
        <f>AO8 + AP8 + Z8</f>
        <v/>
      </c>
    </row>
    <row r="9">
      <c r="A9" s="17" t="inlineStr">
        <is>
          <t>Ngày 07 (07/05)</t>
        </is>
      </c>
      <c r="B9" s="18" t="n">
        <v>27.1</v>
      </c>
      <c r="C9" s="18" t="n">
        <v>0</v>
      </c>
      <c r="D9" s="18" t="n">
        <v>0.19</v>
      </c>
      <c r="E9" s="18" t="n">
        <v>88.59999999999999</v>
      </c>
      <c r="F9" s="18" t="n">
        <v>1</v>
      </c>
      <c r="G9" s="18" t="n">
        <v>96.3</v>
      </c>
      <c r="H9" s="18">
        <f>G9*IF(F9=1, 0.85, 0.8)</f>
        <v/>
      </c>
      <c r="I9" s="17" t="inlineStr">
        <is>
          <t>2-4</t>
        </is>
      </c>
      <c r="J9" s="18">
        <f>INT(H9/(18*0.95))</f>
        <v/>
      </c>
      <c r="K9" s="18">
        <f>ROUND(MOD(H9, (18*0.95)), 2)</f>
        <v/>
      </c>
      <c r="L9" s="18">
        <f>IF(K9&gt;0, ROUNDUP(K9/(5*0.95), 0), 0)</f>
        <v/>
      </c>
      <c r="M9" s="18">
        <f>J9+L9</f>
        <v/>
      </c>
      <c r="N9" s="18">
        <f>ROUND(TREND(G$3:G$94, E$3:E$94, E9), 1)</f>
        <v/>
      </c>
      <c r="O9" s="18">
        <f>ROUND(TREND(G$3:G$94, B$3:E$94, B9:E9), 1)</f>
        <v/>
      </c>
      <c r="P9" s="18">
        <f>ROUND(TREND(G$3:G$94, B$3:F$94, B9:F9), 1)</f>
        <v/>
      </c>
      <c r="Q9" s="18">
        <f>P9*IF(F9=1, 0.85, 0.8)</f>
        <v/>
      </c>
      <c r="R9" s="18">
        <f>INT(Q9/(18*0.95))</f>
        <v/>
      </c>
      <c r="S9" s="18">
        <f>ROUND(MOD(Q9, (18*0.95)), 2)</f>
        <v/>
      </c>
      <c r="T9" s="18">
        <f>IF(S9&gt;0, ROUNDUP(S9/(5*0.95), 0), 0)</f>
        <v/>
      </c>
      <c r="U9" s="18">
        <f>R9+T9</f>
        <v/>
      </c>
      <c r="V9" s="18">
        <f>ROUND(R9*70%, 0)</f>
        <v/>
      </c>
      <c r="W9" s="18">
        <f>MIN(ROUNDUP(R9*0.2, 0), MAX(0, R9 - V9))</f>
        <v/>
      </c>
      <c r="X9" s="17">
        <f>IF(C9&gt;20, "Hủy slot (Mưa &gt; 20mm)", "Kích hoạt")</f>
        <v/>
      </c>
      <c r="Y9" s="18">
        <f>IF(C9&gt;20, 0, W9)</f>
        <v/>
      </c>
      <c r="Z9" s="18">
        <f>IF(C9&gt;20, W9*0.2*AF9, 0)</f>
        <v/>
      </c>
      <c r="AA9" s="18">
        <f>MAX(0, J9 - V9 - Y9)</f>
        <v/>
      </c>
      <c r="AB9" s="18">
        <f>L9</f>
        <v/>
      </c>
      <c r="AC9" s="18">
        <f>V9 + Y9 + AA9</f>
        <v/>
      </c>
      <c r="AD9" s="18">
        <f>AC9 + AB9</f>
        <v/>
      </c>
      <c r="AE9" s="18" t="n">
        <v>9</v>
      </c>
      <c r="AF9" s="18">
        <f>IF(OR(B9&gt;=34, F9=1), 11700000, 9000000)</f>
        <v/>
      </c>
      <c r="AG9" s="18">
        <f>IF(OR(B9&gt;=34, F9=1), 4550000, 3500000)</f>
        <v/>
      </c>
      <c r="AH9" s="18" t="n">
        <v>0.02</v>
      </c>
      <c r="AI9" s="18">
        <f>AVERAGE(J6:J8)</f>
        <v/>
      </c>
      <c r="AJ9" s="18">
        <f>ABS(J9 - AI9)</f>
        <v/>
      </c>
      <c r="AK9" s="18">
        <f>IF(AI9="", 0, IF(AI9&gt;J9, (AI9-J9)*2700000, 0))</f>
        <v/>
      </c>
      <c r="AL9" s="18">
        <f>IF(AI9="", 0, IF(J9&gt;AI9, (J9-AI9)*6000000, 0))</f>
        <v/>
      </c>
      <c r="AM9" s="18">
        <f>AK9 + AL9</f>
        <v/>
      </c>
      <c r="AN9" s="18">
        <f>ABS(AC9 - J9)</f>
        <v/>
      </c>
      <c r="AO9" s="18">
        <f>IF(AC9&gt;J9, (AC9-J9)*2700000, 0)</f>
        <v/>
      </c>
      <c r="AP9" s="18">
        <f>IF(J9&gt;AC9, (J9-AC9)*6000000, 0)</f>
        <v/>
      </c>
      <c r="AQ9" s="18">
        <f>AO9 + AP9 + Z9</f>
        <v/>
      </c>
    </row>
    <row r="10">
      <c r="A10" s="17" t="inlineStr">
        <is>
          <t>Ngày 08 (08/05)</t>
        </is>
      </c>
      <c r="B10" s="18" t="n">
        <v>27.7</v>
      </c>
      <c r="C10" s="18" t="n">
        <v>0</v>
      </c>
      <c r="D10" s="18" t="n">
        <v>0.2</v>
      </c>
      <c r="E10" s="18" t="n">
        <v>97.7</v>
      </c>
      <c r="F10" s="18" t="n">
        <v>1</v>
      </c>
      <c r="G10" s="18" t="n">
        <v>82</v>
      </c>
      <c r="H10" s="18">
        <f>G10*IF(F10=1, 0.85, 0.8)</f>
        <v/>
      </c>
      <c r="I10" s="17" t="inlineStr">
        <is>
          <t>2-4</t>
        </is>
      </c>
      <c r="J10" s="18">
        <f>INT(H10/(18*0.95))</f>
        <v/>
      </c>
      <c r="K10" s="18">
        <f>ROUND(MOD(H10, (18*0.95)), 2)</f>
        <v/>
      </c>
      <c r="L10" s="18">
        <f>IF(K10&gt;0, ROUNDUP(K10/(5*0.95), 0), 0)</f>
        <v/>
      </c>
      <c r="M10" s="18">
        <f>J10+L10</f>
        <v/>
      </c>
      <c r="N10" s="18">
        <f>ROUND(TREND(G$3:G$94, E$3:E$94, E10), 1)</f>
        <v/>
      </c>
      <c r="O10" s="18">
        <f>ROUND(TREND(G$3:G$94, B$3:E$94, B10:E10), 1)</f>
        <v/>
      </c>
      <c r="P10" s="18">
        <f>ROUND(TREND(G$3:G$94, B$3:F$94, B10:F10), 1)</f>
        <v/>
      </c>
      <c r="Q10" s="18">
        <f>P10*IF(F10=1, 0.85, 0.8)</f>
        <v/>
      </c>
      <c r="R10" s="18">
        <f>INT(Q10/(18*0.95))</f>
        <v/>
      </c>
      <c r="S10" s="18">
        <f>ROUND(MOD(Q10, (18*0.95)), 2)</f>
        <v/>
      </c>
      <c r="T10" s="18">
        <f>IF(S10&gt;0, ROUNDUP(S10/(5*0.95), 0), 0)</f>
        <v/>
      </c>
      <c r="U10" s="18">
        <f>R10+T10</f>
        <v/>
      </c>
      <c r="V10" s="18">
        <f>ROUND(R10*70%, 0)</f>
        <v/>
      </c>
      <c r="W10" s="18">
        <f>MIN(ROUNDUP(R10*0.2, 0), MAX(0, R10 - V10))</f>
        <v/>
      </c>
      <c r="X10" s="17">
        <f>IF(C10&gt;20, "Hủy slot (Mưa &gt; 20mm)", "Kích hoạt")</f>
        <v/>
      </c>
      <c r="Y10" s="18">
        <f>IF(C10&gt;20, 0, W10)</f>
        <v/>
      </c>
      <c r="Z10" s="18">
        <f>IF(C10&gt;20, W10*0.2*AF10, 0)</f>
        <v/>
      </c>
      <c r="AA10" s="18">
        <f>MAX(0, J10 - V10 - Y10)</f>
        <v/>
      </c>
      <c r="AB10" s="18">
        <f>L10</f>
        <v/>
      </c>
      <c r="AC10" s="18">
        <f>V10 + Y10 + AA10</f>
        <v/>
      </c>
      <c r="AD10" s="18">
        <f>AC10 + AB10</f>
        <v/>
      </c>
      <c r="AE10" s="18" t="n">
        <v>9</v>
      </c>
      <c r="AF10" s="18">
        <f>IF(OR(B10&gt;=34, F10=1), 11700000, 9000000)</f>
        <v/>
      </c>
      <c r="AG10" s="18">
        <f>IF(OR(B10&gt;=34, F10=1), 4550000, 3500000)</f>
        <v/>
      </c>
      <c r="AH10" s="18" t="n">
        <v>0.02</v>
      </c>
      <c r="AI10" s="18">
        <f>AVERAGE(J7:J9)</f>
        <v/>
      </c>
      <c r="AJ10" s="18">
        <f>ABS(J10 - AI10)</f>
        <v/>
      </c>
      <c r="AK10" s="18">
        <f>IF(AI10="", 0, IF(AI10&gt;J10, (AI10-J10)*2700000, 0))</f>
        <v/>
      </c>
      <c r="AL10" s="18">
        <f>IF(AI10="", 0, IF(J10&gt;AI10, (J10-AI10)*6000000, 0))</f>
        <v/>
      </c>
      <c r="AM10" s="18">
        <f>AK10 + AL10</f>
        <v/>
      </c>
      <c r="AN10" s="18">
        <f>ABS(AC10 - J10)</f>
        <v/>
      </c>
      <c r="AO10" s="18">
        <f>IF(AC10&gt;J10, (AC10-J10)*2700000, 0)</f>
        <v/>
      </c>
      <c r="AP10" s="18">
        <f>IF(J10&gt;AC10, (J10-AC10)*6000000, 0)</f>
        <v/>
      </c>
      <c r="AQ10" s="18">
        <f>AO10 + AP10 + Z10</f>
        <v/>
      </c>
    </row>
    <row r="11">
      <c r="A11" s="17" t="inlineStr">
        <is>
          <t>Ngày 09 (09/05)</t>
        </is>
      </c>
      <c r="B11" s="18" t="n">
        <v>28</v>
      </c>
      <c r="C11" s="18" t="n">
        <v>0</v>
      </c>
      <c r="D11" s="18" t="n">
        <v>0.21</v>
      </c>
      <c r="E11" s="18" t="n">
        <v>71.59999999999999</v>
      </c>
      <c r="F11" s="18" t="n">
        <v>0</v>
      </c>
      <c r="G11" s="18" t="n">
        <v>57.6</v>
      </c>
      <c r="H11" s="18">
        <f>G11*IF(F11=1, 0.85, 0.8)</f>
        <v/>
      </c>
      <c r="I11" s="17" t="inlineStr">
        <is>
          <t>2-4</t>
        </is>
      </c>
      <c r="J11" s="18">
        <f>INT(H11/(18*0.95))</f>
        <v/>
      </c>
      <c r="K11" s="18">
        <f>ROUND(MOD(H11, (18*0.95)), 2)</f>
        <v/>
      </c>
      <c r="L11" s="18">
        <f>IF(K11&gt;0, ROUNDUP(K11/(5*0.95), 0), 0)</f>
        <v/>
      </c>
      <c r="M11" s="18">
        <f>J11+L11</f>
        <v/>
      </c>
      <c r="N11" s="18">
        <f>ROUND(TREND(G$3:G$94, E$3:E$94, E11), 1)</f>
        <v/>
      </c>
      <c r="O11" s="18">
        <f>ROUND(TREND(G$3:G$94, B$3:E$94, B11:E11), 1)</f>
        <v/>
      </c>
      <c r="P11" s="18">
        <f>ROUND(TREND(G$3:G$94, B$3:F$94, B11:F11), 1)</f>
        <v/>
      </c>
      <c r="Q11" s="18">
        <f>P11*IF(F11=1, 0.85, 0.8)</f>
        <v/>
      </c>
      <c r="R11" s="18">
        <f>INT(Q11/(18*0.95))</f>
        <v/>
      </c>
      <c r="S11" s="18">
        <f>ROUND(MOD(Q11, (18*0.95)), 2)</f>
        <v/>
      </c>
      <c r="T11" s="18">
        <f>IF(S11&gt;0, ROUNDUP(S11/(5*0.95), 0), 0)</f>
        <v/>
      </c>
      <c r="U11" s="18">
        <f>R11+T11</f>
        <v/>
      </c>
      <c r="V11" s="18">
        <f>ROUND(R11*70%, 0)</f>
        <v/>
      </c>
      <c r="W11" s="18">
        <f>MIN(ROUNDUP(R11*0.2, 0), MAX(0, R11 - V11))</f>
        <v/>
      </c>
      <c r="X11" s="17">
        <f>IF(C11&gt;20, "Hủy slot (Mưa &gt; 20mm)", "Kích hoạt")</f>
        <v/>
      </c>
      <c r="Y11" s="18">
        <f>IF(C11&gt;20, 0, W11)</f>
        <v/>
      </c>
      <c r="Z11" s="18">
        <f>IF(C11&gt;20, W11*0.2*AF11, 0)</f>
        <v/>
      </c>
      <c r="AA11" s="18">
        <f>MAX(0, J11 - V11 - Y11)</f>
        <v/>
      </c>
      <c r="AB11" s="18">
        <f>L11</f>
        <v/>
      </c>
      <c r="AC11" s="18">
        <f>V11 + Y11 + AA11</f>
        <v/>
      </c>
      <c r="AD11" s="18">
        <f>AC11 + AB11</f>
        <v/>
      </c>
      <c r="AE11" s="18" t="n">
        <v>9</v>
      </c>
      <c r="AF11" s="18">
        <f>IF(OR(B11&gt;=34, F11=1), 11700000, 9000000)</f>
        <v/>
      </c>
      <c r="AG11" s="18">
        <f>IF(OR(B11&gt;=34, F11=1), 4550000, 3500000)</f>
        <v/>
      </c>
      <c r="AH11" s="18" t="n">
        <v>0.02</v>
      </c>
      <c r="AI11" s="18">
        <f>AVERAGE(J8:J10)</f>
        <v/>
      </c>
      <c r="AJ11" s="18">
        <f>ABS(J11 - AI11)</f>
        <v/>
      </c>
      <c r="AK11" s="18">
        <f>IF(AI11="", 0, IF(AI11&gt;J11, (AI11-J11)*2700000, 0))</f>
        <v/>
      </c>
      <c r="AL11" s="18">
        <f>IF(AI11="", 0, IF(J11&gt;AI11, (J11-AI11)*6000000, 0))</f>
        <v/>
      </c>
      <c r="AM11" s="18">
        <f>AK11 + AL11</f>
        <v/>
      </c>
      <c r="AN11" s="18">
        <f>ABS(AC11 - J11)</f>
        <v/>
      </c>
      <c r="AO11" s="18">
        <f>IF(AC11&gt;J11, (AC11-J11)*2700000, 0)</f>
        <v/>
      </c>
      <c r="AP11" s="18">
        <f>IF(J11&gt;AC11, (J11-AC11)*6000000, 0)</f>
        <v/>
      </c>
      <c r="AQ11" s="18">
        <f>AO11 + AP11 + Z11</f>
        <v/>
      </c>
    </row>
    <row r="12">
      <c r="A12" s="17" t="inlineStr">
        <is>
          <t>Ngày 10 (10/05)</t>
        </is>
      </c>
      <c r="B12" s="18" t="n">
        <v>26.9</v>
      </c>
      <c r="C12" s="18" t="n">
        <v>30</v>
      </c>
      <c r="D12" s="18" t="n">
        <v>0.22</v>
      </c>
      <c r="E12" s="18" t="n">
        <v>71.09999999999999</v>
      </c>
      <c r="F12" s="18" t="n">
        <v>0</v>
      </c>
      <c r="G12" s="18" t="n">
        <v>26.5</v>
      </c>
      <c r="H12" s="18">
        <f>G12*IF(F12=1, 0.85, 0.8)</f>
        <v/>
      </c>
      <c r="I12" s="17" t="inlineStr">
        <is>
          <t>2-4</t>
        </is>
      </c>
      <c r="J12" s="18">
        <f>INT(H12/(18*0.95))</f>
        <v/>
      </c>
      <c r="K12" s="18">
        <f>ROUND(MOD(H12, (18*0.95)), 2)</f>
        <v/>
      </c>
      <c r="L12" s="18">
        <f>IF(K12&gt;0, ROUNDUP(K12/(5*0.95), 0), 0)</f>
        <v/>
      </c>
      <c r="M12" s="18">
        <f>J12+L12</f>
        <v/>
      </c>
      <c r="N12" s="18">
        <f>ROUND(TREND(G$3:G$94, E$3:E$94, E12), 1)</f>
        <v/>
      </c>
      <c r="O12" s="18">
        <f>ROUND(TREND(G$3:G$94, B$3:E$94, B12:E12), 1)</f>
        <v/>
      </c>
      <c r="P12" s="18">
        <f>ROUND(TREND(G$3:G$94, B$3:F$94, B12:F12), 1)</f>
        <v/>
      </c>
      <c r="Q12" s="18">
        <f>P12*IF(F12=1, 0.85, 0.8)</f>
        <v/>
      </c>
      <c r="R12" s="18">
        <f>INT(Q12/(18*0.95))</f>
        <v/>
      </c>
      <c r="S12" s="18">
        <f>ROUND(MOD(Q12, (18*0.95)), 2)</f>
        <v/>
      </c>
      <c r="T12" s="18">
        <f>IF(S12&gt;0, ROUNDUP(S12/(5*0.95), 0), 0)</f>
        <v/>
      </c>
      <c r="U12" s="18">
        <f>R12+T12</f>
        <v/>
      </c>
      <c r="V12" s="18">
        <f>ROUND(R12*70%, 0)</f>
        <v/>
      </c>
      <c r="W12" s="18">
        <f>MIN(ROUNDUP(R12*0.2, 0), MAX(0, R12 - V12))</f>
        <v/>
      </c>
      <c r="X12" s="17">
        <f>IF(C12&gt;20, "Hủy slot (Mưa &gt; 20mm)", "Kích hoạt")</f>
        <v/>
      </c>
      <c r="Y12" s="18">
        <f>IF(C12&gt;20, 0, W12)</f>
        <v/>
      </c>
      <c r="Z12" s="18">
        <f>IF(C12&gt;20, W12*0.2*AF12, 0)</f>
        <v/>
      </c>
      <c r="AA12" s="18">
        <f>MAX(0, J12 - V12 - Y12)</f>
        <v/>
      </c>
      <c r="AB12" s="18">
        <f>L12</f>
        <v/>
      </c>
      <c r="AC12" s="18">
        <f>V12 + Y12 + AA12</f>
        <v/>
      </c>
      <c r="AD12" s="18">
        <f>AC12 + AB12</f>
        <v/>
      </c>
      <c r="AE12" s="18" t="n">
        <v>9</v>
      </c>
      <c r="AF12" s="18">
        <f>IF(OR(B12&gt;=34, F12=1), 11700000, 9000000)</f>
        <v/>
      </c>
      <c r="AG12" s="18">
        <f>IF(OR(B12&gt;=34, F12=1), 4550000, 3500000)</f>
        <v/>
      </c>
      <c r="AH12" s="18" t="n">
        <v>0.02</v>
      </c>
      <c r="AI12" s="18">
        <f>AVERAGE(J9:J11)</f>
        <v/>
      </c>
      <c r="AJ12" s="18">
        <f>ABS(J12 - AI12)</f>
        <v/>
      </c>
      <c r="AK12" s="18">
        <f>IF(AI12="", 0, IF(AI12&gt;J12, (AI12-J12)*2700000, 0))</f>
        <v/>
      </c>
      <c r="AL12" s="18">
        <f>IF(AI12="", 0, IF(J12&gt;AI12, (J12-AI12)*6000000, 0))</f>
        <v/>
      </c>
      <c r="AM12" s="18">
        <f>AK12 + AL12</f>
        <v/>
      </c>
      <c r="AN12" s="18">
        <f>ABS(AC12 - J12)</f>
        <v/>
      </c>
      <c r="AO12" s="18">
        <f>IF(AC12&gt;J12, (AC12-J12)*2700000, 0)</f>
        <v/>
      </c>
      <c r="AP12" s="18">
        <f>IF(J12&gt;AC12, (J12-AC12)*6000000, 0)</f>
        <v/>
      </c>
      <c r="AQ12" s="18">
        <f>AO12 + AP12 + Z12</f>
        <v/>
      </c>
    </row>
    <row r="13">
      <c r="A13" s="17" t="inlineStr">
        <is>
          <t>Ngày 11 (11/05)</t>
        </is>
      </c>
      <c r="B13" s="18" t="n">
        <v>29.7</v>
      </c>
      <c r="C13" s="18" t="n">
        <v>0</v>
      </c>
      <c r="D13" s="18" t="n">
        <v>0.23</v>
      </c>
      <c r="E13" s="18" t="n">
        <v>91.2</v>
      </c>
      <c r="F13" s="18" t="n">
        <v>0</v>
      </c>
      <c r="G13" s="18" t="n">
        <v>93.90000000000001</v>
      </c>
      <c r="H13" s="18">
        <f>G13*IF(F13=1, 0.85, 0.8)</f>
        <v/>
      </c>
      <c r="I13" s="17" t="inlineStr">
        <is>
          <t>2-4</t>
        </is>
      </c>
      <c r="J13" s="18">
        <f>INT(H13/(18*0.95))</f>
        <v/>
      </c>
      <c r="K13" s="18">
        <f>ROUND(MOD(H13, (18*0.95)), 2)</f>
        <v/>
      </c>
      <c r="L13" s="18">
        <f>IF(K13&gt;0, ROUNDUP(K13/(5*0.95), 0), 0)</f>
        <v/>
      </c>
      <c r="M13" s="18">
        <f>J13+L13</f>
        <v/>
      </c>
      <c r="N13" s="18">
        <f>ROUND(TREND(G$3:G$94, E$3:E$94, E13), 1)</f>
        <v/>
      </c>
      <c r="O13" s="18">
        <f>ROUND(TREND(G$3:G$94, B$3:E$94, B13:E13), 1)</f>
        <v/>
      </c>
      <c r="P13" s="18">
        <f>ROUND(TREND(G$3:G$94, B$3:F$94, B13:F13), 1)</f>
        <v/>
      </c>
      <c r="Q13" s="18">
        <f>P13*IF(F13=1, 0.85, 0.8)</f>
        <v/>
      </c>
      <c r="R13" s="18">
        <f>INT(Q13/(18*0.95))</f>
        <v/>
      </c>
      <c r="S13" s="18">
        <f>ROUND(MOD(Q13, (18*0.95)), 2)</f>
        <v/>
      </c>
      <c r="T13" s="18">
        <f>IF(S13&gt;0, ROUNDUP(S13/(5*0.95), 0), 0)</f>
        <v/>
      </c>
      <c r="U13" s="18">
        <f>R13+T13</f>
        <v/>
      </c>
      <c r="V13" s="18">
        <f>ROUND(R13*70%, 0)</f>
        <v/>
      </c>
      <c r="W13" s="18">
        <f>MIN(ROUNDUP(R13*0.2, 0), MAX(0, R13 - V13))</f>
        <v/>
      </c>
      <c r="X13" s="17">
        <f>IF(C13&gt;20, "Hủy slot (Mưa &gt; 20mm)", "Kích hoạt")</f>
        <v/>
      </c>
      <c r="Y13" s="18">
        <f>IF(C13&gt;20, 0, W13)</f>
        <v/>
      </c>
      <c r="Z13" s="18">
        <f>IF(C13&gt;20, W13*0.2*AF13, 0)</f>
        <v/>
      </c>
      <c r="AA13" s="18">
        <f>MAX(0, J13 - V13 - Y13)</f>
        <v/>
      </c>
      <c r="AB13" s="18">
        <f>L13</f>
        <v/>
      </c>
      <c r="AC13" s="18">
        <f>V13 + Y13 + AA13</f>
        <v/>
      </c>
      <c r="AD13" s="18">
        <f>AC13 + AB13</f>
        <v/>
      </c>
      <c r="AE13" s="18" t="n">
        <v>9</v>
      </c>
      <c r="AF13" s="18">
        <f>IF(OR(B13&gt;=34, F13=1), 11700000, 9000000)</f>
        <v/>
      </c>
      <c r="AG13" s="18">
        <f>IF(OR(B13&gt;=34, F13=1), 4550000, 3500000)</f>
        <v/>
      </c>
      <c r="AH13" s="18" t="n">
        <v>0.02</v>
      </c>
      <c r="AI13" s="18">
        <f>AVERAGE(J10:J12)</f>
        <v/>
      </c>
      <c r="AJ13" s="18">
        <f>ABS(J13 - AI13)</f>
        <v/>
      </c>
      <c r="AK13" s="18">
        <f>IF(AI13="", 0, IF(AI13&gt;J13, (AI13-J13)*2700000, 0))</f>
        <v/>
      </c>
      <c r="AL13" s="18">
        <f>IF(AI13="", 0, IF(J13&gt;AI13, (J13-AI13)*6000000, 0))</f>
        <v/>
      </c>
      <c r="AM13" s="18">
        <f>AK13 + AL13</f>
        <v/>
      </c>
      <c r="AN13" s="18">
        <f>ABS(AC13 - J13)</f>
        <v/>
      </c>
      <c r="AO13" s="18">
        <f>IF(AC13&gt;J13, (AC13-J13)*2700000, 0)</f>
        <v/>
      </c>
      <c r="AP13" s="18">
        <f>IF(J13&gt;AC13, (J13-AC13)*6000000, 0)</f>
        <v/>
      </c>
      <c r="AQ13" s="18">
        <f>AO13 + AP13 + Z13</f>
        <v/>
      </c>
    </row>
    <row r="14">
      <c r="A14" s="17" t="inlineStr">
        <is>
          <t>Ngày 12 (12/05)</t>
        </is>
      </c>
      <c r="B14" s="18" t="n">
        <v>28</v>
      </c>
      <c r="C14" s="18" t="n">
        <v>0</v>
      </c>
      <c r="D14" s="18" t="n">
        <v>0.25</v>
      </c>
      <c r="E14" s="18" t="n">
        <v>90.5</v>
      </c>
      <c r="F14" s="18" t="n">
        <v>0</v>
      </c>
      <c r="G14" s="18" t="n">
        <v>97.90000000000001</v>
      </c>
      <c r="H14" s="18">
        <f>G14*IF(F14=1, 0.85, 0.8)</f>
        <v/>
      </c>
      <c r="I14" s="17" t="inlineStr">
        <is>
          <t>2-4</t>
        </is>
      </c>
      <c r="J14" s="18">
        <f>INT(H14/(18*0.95))</f>
        <v/>
      </c>
      <c r="K14" s="18">
        <f>ROUND(MOD(H14, (18*0.95)), 2)</f>
        <v/>
      </c>
      <c r="L14" s="18">
        <f>IF(K14&gt;0, ROUNDUP(K14/(5*0.95), 0), 0)</f>
        <v/>
      </c>
      <c r="M14" s="18">
        <f>J14+L14</f>
        <v/>
      </c>
      <c r="N14" s="18">
        <f>ROUND(TREND(G$3:G$94, E$3:E$94, E14), 1)</f>
        <v/>
      </c>
      <c r="O14" s="18">
        <f>ROUND(TREND(G$3:G$94, B$3:E$94, B14:E14), 1)</f>
        <v/>
      </c>
      <c r="P14" s="18">
        <f>ROUND(TREND(G$3:G$94, B$3:F$94, B14:F14), 1)</f>
        <v/>
      </c>
      <c r="Q14" s="18">
        <f>P14*IF(F14=1, 0.85, 0.8)</f>
        <v/>
      </c>
      <c r="R14" s="18">
        <f>INT(Q14/(18*0.95))</f>
        <v/>
      </c>
      <c r="S14" s="18">
        <f>ROUND(MOD(Q14, (18*0.95)), 2)</f>
        <v/>
      </c>
      <c r="T14" s="18">
        <f>IF(S14&gt;0, ROUNDUP(S14/(5*0.95), 0), 0)</f>
        <v/>
      </c>
      <c r="U14" s="18">
        <f>R14+T14</f>
        <v/>
      </c>
      <c r="V14" s="18">
        <f>ROUND(R14*70%, 0)</f>
        <v/>
      </c>
      <c r="W14" s="18">
        <f>MIN(ROUNDUP(R14*0.2, 0), MAX(0, R14 - V14))</f>
        <v/>
      </c>
      <c r="X14" s="17">
        <f>IF(C14&gt;20, "Hủy slot (Mưa &gt; 20mm)", "Kích hoạt")</f>
        <v/>
      </c>
      <c r="Y14" s="18">
        <f>IF(C14&gt;20, 0, W14)</f>
        <v/>
      </c>
      <c r="Z14" s="18">
        <f>IF(C14&gt;20, W14*0.2*AF14, 0)</f>
        <v/>
      </c>
      <c r="AA14" s="18">
        <f>MAX(0, J14 - V14 - Y14)</f>
        <v/>
      </c>
      <c r="AB14" s="18">
        <f>L14</f>
        <v/>
      </c>
      <c r="AC14" s="18">
        <f>V14 + Y14 + AA14</f>
        <v/>
      </c>
      <c r="AD14" s="18">
        <f>AC14 + AB14</f>
        <v/>
      </c>
      <c r="AE14" s="18" t="n">
        <v>9</v>
      </c>
      <c r="AF14" s="18">
        <f>IF(OR(B14&gt;=34, F14=1), 11700000, 9000000)</f>
        <v/>
      </c>
      <c r="AG14" s="18">
        <f>IF(OR(B14&gt;=34, F14=1), 4550000, 3500000)</f>
        <v/>
      </c>
      <c r="AH14" s="18" t="n">
        <v>0.02</v>
      </c>
      <c r="AI14" s="18">
        <f>AVERAGE(J11:J13)</f>
        <v/>
      </c>
      <c r="AJ14" s="18">
        <f>ABS(J14 - AI14)</f>
        <v/>
      </c>
      <c r="AK14" s="18">
        <f>IF(AI14="", 0, IF(AI14&gt;J14, (AI14-J14)*2700000, 0))</f>
        <v/>
      </c>
      <c r="AL14" s="18">
        <f>IF(AI14="", 0, IF(J14&gt;AI14, (J14-AI14)*6000000, 0))</f>
        <v/>
      </c>
      <c r="AM14" s="18">
        <f>AK14 + AL14</f>
        <v/>
      </c>
      <c r="AN14" s="18">
        <f>ABS(AC14 - J14)</f>
        <v/>
      </c>
      <c r="AO14" s="18">
        <f>IF(AC14&gt;J14, (AC14-J14)*2700000, 0)</f>
        <v/>
      </c>
      <c r="AP14" s="18">
        <f>IF(J14&gt;AC14, (J14-AC14)*6000000, 0)</f>
        <v/>
      </c>
      <c r="AQ14" s="18">
        <f>AO14 + AP14 + Z14</f>
        <v/>
      </c>
    </row>
    <row r="15">
      <c r="A15" s="17" t="inlineStr">
        <is>
          <t>Ngày 13 (13/05)</t>
        </is>
      </c>
      <c r="B15" s="18" t="n">
        <v>30.1</v>
      </c>
      <c r="C15" s="18" t="n">
        <v>0</v>
      </c>
      <c r="D15" s="18" t="n">
        <v>0.26</v>
      </c>
      <c r="E15" s="18" t="n">
        <v>100.1</v>
      </c>
      <c r="F15" s="18" t="n">
        <v>0</v>
      </c>
      <c r="G15" s="18" t="n">
        <v>110.2</v>
      </c>
      <c r="H15" s="18">
        <f>G15*IF(F15=1, 0.85, 0.8)</f>
        <v/>
      </c>
      <c r="I15" s="17" t="inlineStr">
        <is>
          <t>2-4</t>
        </is>
      </c>
      <c r="J15" s="18">
        <f>INT(H15/(18*0.95))</f>
        <v/>
      </c>
      <c r="K15" s="18">
        <f>ROUND(MOD(H15, (18*0.95)), 2)</f>
        <v/>
      </c>
      <c r="L15" s="18">
        <f>IF(K15&gt;0, ROUNDUP(K15/(5*0.95), 0), 0)</f>
        <v/>
      </c>
      <c r="M15" s="18">
        <f>J15+L15</f>
        <v/>
      </c>
      <c r="N15" s="18">
        <f>ROUND(TREND(G$3:G$94, E$3:E$94, E15), 1)</f>
        <v/>
      </c>
      <c r="O15" s="18">
        <f>ROUND(TREND(G$3:G$94, B$3:E$94, B15:E15), 1)</f>
        <v/>
      </c>
      <c r="P15" s="18">
        <f>ROUND(TREND(G$3:G$94, B$3:F$94, B15:F15), 1)</f>
        <v/>
      </c>
      <c r="Q15" s="18">
        <f>P15*IF(F15=1, 0.85, 0.8)</f>
        <v/>
      </c>
      <c r="R15" s="18">
        <f>INT(Q15/(18*0.95))</f>
        <v/>
      </c>
      <c r="S15" s="18">
        <f>ROUND(MOD(Q15, (18*0.95)), 2)</f>
        <v/>
      </c>
      <c r="T15" s="18">
        <f>IF(S15&gt;0, ROUNDUP(S15/(5*0.95), 0), 0)</f>
        <v/>
      </c>
      <c r="U15" s="18">
        <f>R15+T15</f>
        <v/>
      </c>
      <c r="V15" s="18">
        <f>ROUND(R15*70%, 0)</f>
        <v/>
      </c>
      <c r="W15" s="18">
        <f>MIN(ROUNDUP(R15*0.2, 0), MAX(0, R15 - V15))</f>
        <v/>
      </c>
      <c r="X15" s="17">
        <f>IF(C15&gt;20, "Hủy slot (Mưa &gt; 20mm)", "Kích hoạt")</f>
        <v/>
      </c>
      <c r="Y15" s="18">
        <f>IF(C15&gt;20, 0, W15)</f>
        <v/>
      </c>
      <c r="Z15" s="18">
        <f>IF(C15&gt;20, W15*0.2*AF15, 0)</f>
        <v/>
      </c>
      <c r="AA15" s="18">
        <f>MAX(0, J15 - V15 - Y15)</f>
        <v/>
      </c>
      <c r="AB15" s="18">
        <f>L15</f>
        <v/>
      </c>
      <c r="AC15" s="18">
        <f>V15 + Y15 + AA15</f>
        <v/>
      </c>
      <c r="AD15" s="18">
        <f>AC15 + AB15</f>
        <v/>
      </c>
      <c r="AE15" s="18" t="n">
        <v>9</v>
      </c>
      <c r="AF15" s="18">
        <f>IF(OR(B15&gt;=34, F15=1), 11700000, 9000000)</f>
        <v/>
      </c>
      <c r="AG15" s="18">
        <f>IF(OR(B15&gt;=34, F15=1), 4550000, 3500000)</f>
        <v/>
      </c>
      <c r="AH15" s="18" t="n">
        <v>0.02</v>
      </c>
      <c r="AI15" s="18">
        <f>AVERAGE(J12:J14)</f>
        <v/>
      </c>
      <c r="AJ15" s="18">
        <f>ABS(J15 - AI15)</f>
        <v/>
      </c>
      <c r="AK15" s="18">
        <f>IF(AI15="", 0, IF(AI15&gt;J15, (AI15-J15)*2700000, 0))</f>
        <v/>
      </c>
      <c r="AL15" s="18">
        <f>IF(AI15="", 0, IF(J15&gt;AI15, (J15-AI15)*6000000, 0))</f>
        <v/>
      </c>
      <c r="AM15" s="18">
        <f>AK15 + AL15</f>
        <v/>
      </c>
      <c r="AN15" s="18">
        <f>ABS(AC15 - J15)</f>
        <v/>
      </c>
      <c r="AO15" s="18">
        <f>IF(AC15&gt;J15, (AC15-J15)*2700000, 0)</f>
        <v/>
      </c>
      <c r="AP15" s="18">
        <f>IF(J15&gt;AC15, (J15-AC15)*6000000, 0)</f>
        <v/>
      </c>
      <c r="AQ15" s="18">
        <f>AO15 + AP15 + Z15</f>
        <v/>
      </c>
    </row>
    <row r="16">
      <c r="A16" s="17" t="inlineStr">
        <is>
          <t>Ngày 14 (14/05)</t>
        </is>
      </c>
      <c r="B16" s="18" t="n">
        <v>29.5</v>
      </c>
      <c r="C16" s="18" t="n">
        <v>0</v>
      </c>
      <c r="D16" s="18" t="n">
        <v>0.27</v>
      </c>
      <c r="E16" s="18" t="n">
        <v>162.7</v>
      </c>
      <c r="F16" s="18" t="n">
        <v>1</v>
      </c>
      <c r="G16" s="18" t="n">
        <v>147</v>
      </c>
      <c r="H16" s="18">
        <f>G16*IF(F16=1, 0.85, 0.8)</f>
        <v/>
      </c>
      <c r="I16" s="17" t="inlineStr">
        <is>
          <t>2-4</t>
        </is>
      </c>
      <c r="J16" s="18">
        <f>INT(H16/(18*0.95))</f>
        <v/>
      </c>
      <c r="K16" s="18">
        <f>ROUND(MOD(H16, (18*0.95)), 2)</f>
        <v/>
      </c>
      <c r="L16" s="18">
        <f>IF(K16&gt;0, ROUNDUP(K16/(5*0.95), 0), 0)</f>
        <v/>
      </c>
      <c r="M16" s="18">
        <f>J16+L16</f>
        <v/>
      </c>
      <c r="N16" s="18">
        <f>ROUND(TREND(G$3:G$94, E$3:E$94, E16), 1)</f>
        <v/>
      </c>
      <c r="O16" s="18">
        <f>ROUND(TREND(G$3:G$94, B$3:E$94, B16:E16), 1)</f>
        <v/>
      </c>
      <c r="P16" s="18">
        <f>ROUND(TREND(G$3:G$94, B$3:F$94, B16:F16), 1)</f>
        <v/>
      </c>
      <c r="Q16" s="18">
        <f>P16*IF(F16=1, 0.85, 0.8)</f>
        <v/>
      </c>
      <c r="R16" s="18">
        <f>INT(Q16/(18*0.95))</f>
        <v/>
      </c>
      <c r="S16" s="18">
        <f>ROUND(MOD(Q16, (18*0.95)), 2)</f>
        <v/>
      </c>
      <c r="T16" s="18">
        <f>IF(S16&gt;0, ROUNDUP(S16/(5*0.95), 0), 0)</f>
        <v/>
      </c>
      <c r="U16" s="18">
        <f>R16+T16</f>
        <v/>
      </c>
      <c r="V16" s="18">
        <f>ROUND(R16*70%, 0)</f>
        <v/>
      </c>
      <c r="W16" s="18">
        <f>MIN(ROUNDUP(R16*0.2, 0), MAX(0, R16 - V16))</f>
        <v/>
      </c>
      <c r="X16" s="17">
        <f>IF(C16&gt;20, "Hủy slot (Mưa &gt; 20mm)", "Kích hoạt")</f>
        <v/>
      </c>
      <c r="Y16" s="18">
        <f>IF(C16&gt;20, 0, W16)</f>
        <v/>
      </c>
      <c r="Z16" s="18">
        <f>IF(C16&gt;20, W16*0.2*AF16, 0)</f>
        <v/>
      </c>
      <c r="AA16" s="18">
        <f>MAX(0, J16 - V16 - Y16)</f>
        <v/>
      </c>
      <c r="AB16" s="18">
        <f>L16</f>
        <v/>
      </c>
      <c r="AC16" s="18">
        <f>V16 + Y16 + AA16</f>
        <v/>
      </c>
      <c r="AD16" s="18">
        <f>AC16 + AB16</f>
        <v/>
      </c>
      <c r="AE16" s="18" t="n">
        <v>9</v>
      </c>
      <c r="AF16" s="18">
        <f>IF(OR(B16&gt;=34, F16=1), 11700000, 9000000)</f>
        <v/>
      </c>
      <c r="AG16" s="18">
        <f>IF(OR(B16&gt;=34, F16=1), 4550000, 3500000)</f>
        <v/>
      </c>
      <c r="AH16" s="18" t="n">
        <v>0.02</v>
      </c>
      <c r="AI16" s="18">
        <f>AVERAGE(J13:J15)</f>
        <v/>
      </c>
      <c r="AJ16" s="18">
        <f>ABS(J16 - AI16)</f>
        <v/>
      </c>
      <c r="AK16" s="18">
        <f>IF(AI16="", 0, IF(AI16&gt;J16, (AI16-J16)*2700000, 0))</f>
        <v/>
      </c>
      <c r="AL16" s="18">
        <f>IF(AI16="", 0, IF(J16&gt;AI16, (J16-AI16)*6000000, 0))</f>
        <v/>
      </c>
      <c r="AM16" s="18">
        <f>AK16 + AL16</f>
        <v/>
      </c>
      <c r="AN16" s="18">
        <f>ABS(AC16 - J16)</f>
        <v/>
      </c>
      <c r="AO16" s="18">
        <f>IF(AC16&gt;J16, (AC16-J16)*2700000, 0)</f>
        <v/>
      </c>
      <c r="AP16" s="18">
        <f>IF(J16&gt;AC16, (J16-AC16)*6000000, 0)</f>
        <v/>
      </c>
      <c r="AQ16" s="18">
        <f>AO16 + AP16 + Z16</f>
        <v/>
      </c>
    </row>
    <row r="17">
      <c r="A17" s="17" t="inlineStr">
        <is>
          <t>Ngày 15 (15/05)</t>
        </is>
      </c>
      <c r="B17" s="18" t="n">
        <v>28.6</v>
      </c>
      <c r="C17" s="18" t="n">
        <v>0</v>
      </c>
      <c r="D17" s="18" t="n">
        <v>0.28</v>
      </c>
      <c r="E17" s="18" t="n">
        <v>159.7</v>
      </c>
      <c r="F17" s="18" t="n">
        <v>1</v>
      </c>
      <c r="G17" s="18" t="n">
        <v>173.4</v>
      </c>
      <c r="H17" s="18">
        <f>G17*IF(F17=1, 0.85, 0.8)</f>
        <v/>
      </c>
      <c r="I17" s="17" t="inlineStr">
        <is>
          <t>2-4</t>
        </is>
      </c>
      <c r="J17" s="18">
        <f>INT(H17/(18*0.95))</f>
        <v/>
      </c>
      <c r="K17" s="18">
        <f>ROUND(MOD(H17, (18*0.95)), 2)</f>
        <v/>
      </c>
      <c r="L17" s="18">
        <f>IF(K17&gt;0, ROUNDUP(K17/(5*0.95), 0), 0)</f>
        <v/>
      </c>
      <c r="M17" s="18">
        <f>J17+L17</f>
        <v/>
      </c>
      <c r="N17" s="18">
        <f>ROUND(TREND(G$3:G$94, E$3:E$94, E17), 1)</f>
        <v/>
      </c>
      <c r="O17" s="18">
        <f>ROUND(TREND(G$3:G$94, B$3:E$94, B17:E17), 1)</f>
        <v/>
      </c>
      <c r="P17" s="18">
        <f>ROUND(TREND(G$3:G$94, B$3:F$94, B17:F17), 1)</f>
        <v/>
      </c>
      <c r="Q17" s="18">
        <f>P17*IF(F17=1, 0.85, 0.8)</f>
        <v/>
      </c>
      <c r="R17" s="18">
        <f>INT(Q17/(18*0.95))</f>
        <v/>
      </c>
      <c r="S17" s="18">
        <f>ROUND(MOD(Q17, (18*0.95)), 2)</f>
        <v/>
      </c>
      <c r="T17" s="18">
        <f>IF(S17&gt;0, ROUNDUP(S17/(5*0.95), 0), 0)</f>
        <v/>
      </c>
      <c r="U17" s="18">
        <f>R17+T17</f>
        <v/>
      </c>
      <c r="V17" s="18">
        <f>ROUND(R17*70%, 0)</f>
        <v/>
      </c>
      <c r="W17" s="18">
        <f>MIN(ROUNDUP(R17*0.2, 0), MAX(0, R17 - V17))</f>
        <v/>
      </c>
      <c r="X17" s="17">
        <f>IF(C17&gt;20, "Hủy slot (Mưa &gt; 20mm)", "Kích hoạt")</f>
        <v/>
      </c>
      <c r="Y17" s="18">
        <f>IF(C17&gt;20, 0, W17)</f>
        <v/>
      </c>
      <c r="Z17" s="18">
        <f>IF(C17&gt;20, W17*0.2*AF17, 0)</f>
        <v/>
      </c>
      <c r="AA17" s="18">
        <f>MAX(0, J17 - V17 - Y17)</f>
        <v/>
      </c>
      <c r="AB17" s="18">
        <f>L17</f>
        <v/>
      </c>
      <c r="AC17" s="18">
        <f>V17 + Y17 + AA17</f>
        <v/>
      </c>
      <c r="AD17" s="18">
        <f>AC17 + AB17</f>
        <v/>
      </c>
      <c r="AE17" s="18" t="n">
        <v>9</v>
      </c>
      <c r="AF17" s="18">
        <f>IF(OR(B17&gt;=34, F17=1), 11700000, 9000000)</f>
        <v/>
      </c>
      <c r="AG17" s="18">
        <f>IF(OR(B17&gt;=34, F17=1), 4550000, 3500000)</f>
        <v/>
      </c>
      <c r="AH17" s="18" t="n">
        <v>0.02</v>
      </c>
      <c r="AI17" s="18">
        <f>AVERAGE(J14:J16)</f>
        <v/>
      </c>
      <c r="AJ17" s="18">
        <f>ABS(J17 - AI17)</f>
        <v/>
      </c>
      <c r="AK17" s="18">
        <f>IF(AI17="", 0, IF(AI17&gt;J17, (AI17-J17)*2700000, 0))</f>
        <v/>
      </c>
      <c r="AL17" s="18">
        <f>IF(AI17="", 0, IF(J17&gt;AI17, (J17-AI17)*6000000, 0))</f>
        <v/>
      </c>
      <c r="AM17" s="18">
        <f>AK17 + AL17</f>
        <v/>
      </c>
      <c r="AN17" s="18">
        <f>ABS(AC17 - J17)</f>
        <v/>
      </c>
      <c r="AO17" s="18">
        <f>IF(AC17&gt;J17, (AC17-J17)*2700000, 0)</f>
        <v/>
      </c>
      <c r="AP17" s="18">
        <f>IF(J17&gt;AC17, (J17-AC17)*6000000, 0)</f>
        <v/>
      </c>
      <c r="AQ17" s="18">
        <f>AO17 + AP17 + Z17</f>
        <v/>
      </c>
    </row>
    <row r="18">
      <c r="A18" s="17" t="inlineStr">
        <is>
          <t>Ngày 16 (16/05)</t>
        </is>
      </c>
      <c r="B18" s="18" t="n">
        <v>27.7</v>
      </c>
      <c r="C18" s="18" t="n">
        <v>0</v>
      </c>
      <c r="D18" s="18" t="n">
        <v>0.3</v>
      </c>
      <c r="E18" s="18" t="n">
        <v>125.7</v>
      </c>
      <c r="F18" s="18" t="n">
        <v>0</v>
      </c>
      <c r="G18" s="18" t="n">
        <v>124.7</v>
      </c>
      <c r="H18" s="18">
        <f>G18*IF(F18=1, 0.85, 0.8)</f>
        <v/>
      </c>
      <c r="I18" s="17" t="inlineStr">
        <is>
          <t>2-4</t>
        </is>
      </c>
      <c r="J18" s="18">
        <f>INT(H18/(18*0.95))</f>
        <v/>
      </c>
      <c r="K18" s="18">
        <f>ROUND(MOD(H18, (18*0.95)), 2)</f>
        <v/>
      </c>
      <c r="L18" s="18">
        <f>IF(K18&gt;0, ROUNDUP(K18/(5*0.95), 0), 0)</f>
        <v/>
      </c>
      <c r="M18" s="18">
        <f>J18+L18</f>
        <v/>
      </c>
      <c r="N18" s="18">
        <f>ROUND(TREND(G$3:G$94, E$3:E$94, E18), 1)</f>
        <v/>
      </c>
      <c r="O18" s="18">
        <f>ROUND(TREND(G$3:G$94, B$3:E$94, B18:E18), 1)</f>
        <v/>
      </c>
      <c r="P18" s="18">
        <f>ROUND(TREND(G$3:G$94, B$3:F$94, B18:F18), 1)</f>
        <v/>
      </c>
      <c r="Q18" s="18">
        <f>P18*IF(F18=1, 0.85, 0.8)</f>
        <v/>
      </c>
      <c r="R18" s="18">
        <f>INT(Q18/(18*0.95))</f>
        <v/>
      </c>
      <c r="S18" s="18">
        <f>ROUND(MOD(Q18, (18*0.95)), 2)</f>
        <v/>
      </c>
      <c r="T18" s="18">
        <f>IF(S18&gt;0, ROUNDUP(S18/(5*0.95), 0), 0)</f>
        <v/>
      </c>
      <c r="U18" s="18">
        <f>R18+T18</f>
        <v/>
      </c>
      <c r="V18" s="18">
        <f>ROUND(R18*70%, 0)</f>
        <v/>
      </c>
      <c r="W18" s="18">
        <f>MIN(ROUNDUP(R18*0.2, 0), MAX(0, R18 - V18))</f>
        <v/>
      </c>
      <c r="X18" s="17">
        <f>IF(C18&gt;20, "Hủy slot (Mưa &gt; 20mm)", "Kích hoạt")</f>
        <v/>
      </c>
      <c r="Y18" s="18">
        <f>IF(C18&gt;20, 0, W18)</f>
        <v/>
      </c>
      <c r="Z18" s="18">
        <f>IF(C18&gt;20, W18*0.2*AF18, 0)</f>
        <v/>
      </c>
      <c r="AA18" s="18">
        <f>MAX(0, J18 - V18 - Y18)</f>
        <v/>
      </c>
      <c r="AB18" s="18">
        <f>L18</f>
        <v/>
      </c>
      <c r="AC18" s="18">
        <f>V18 + Y18 + AA18</f>
        <v/>
      </c>
      <c r="AD18" s="18">
        <f>AC18 + AB18</f>
        <v/>
      </c>
      <c r="AE18" s="18" t="n">
        <v>9</v>
      </c>
      <c r="AF18" s="18">
        <f>IF(OR(B18&gt;=34, F18=1), 11700000, 9000000)</f>
        <v/>
      </c>
      <c r="AG18" s="18">
        <f>IF(OR(B18&gt;=34, F18=1), 4550000, 3500000)</f>
        <v/>
      </c>
      <c r="AH18" s="18" t="n">
        <v>0.02</v>
      </c>
      <c r="AI18" s="18">
        <f>AVERAGE(J15:J17)</f>
        <v/>
      </c>
      <c r="AJ18" s="18">
        <f>ABS(J18 - AI18)</f>
        <v/>
      </c>
      <c r="AK18" s="18">
        <f>IF(AI18="", 0, IF(AI18&gt;J18, (AI18-J18)*2700000, 0))</f>
        <v/>
      </c>
      <c r="AL18" s="18">
        <f>IF(AI18="", 0, IF(J18&gt;AI18, (J18-AI18)*6000000, 0))</f>
        <v/>
      </c>
      <c r="AM18" s="18">
        <f>AK18 + AL18</f>
        <v/>
      </c>
      <c r="AN18" s="18">
        <f>ABS(AC18 - J18)</f>
        <v/>
      </c>
      <c r="AO18" s="18">
        <f>IF(AC18&gt;J18, (AC18-J18)*2700000, 0)</f>
        <v/>
      </c>
      <c r="AP18" s="18">
        <f>IF(J18&gt;AC18, (J18-AC18)*6000000, 0)</f>
        <v/>
      </c>
      <c r="AQ18" s="18">
        <f>AO18 + AP18 + Z18</f>
        <v/>
      </c>
    </row>
    <row r="19">
      <c r="A19" s="17" t="inlineStr">
        <is>
          <t>Ngày 17 (17/05)</t>
        </is>
      </c>
      <c r="B19" s="18" t="n">
        <v>26.9</v>
      </c>
      <c r="C19" s="18" t="n">
        <v>0</v>
      </c>
      <c r="D19" s="18" t="n">
        <v>0.31</v>
      </c>
      <c r="E19" s="18" t="n">
        <v>150.1</v>
      </c>
      <c r="F19" s="18" t="n">
        <v>0</v>
      </c>
      <c r="G19" s="18" t="n">
        <v>152.4</v>
      </c>
      <c r="H19" s="18">
        <f>G19*IF(F19=1, 0.85, 0.8)</f>
        <v/>
      </c>
      <c r="I19" s="17" t="inlineStr">
        <is>
          <t>2-4</t>
        </is>
      </c>
      <c r="J19" s="18">
        <f>INT(H19/(18*0.95))</f>
        <v/>
      </c>
      <c r="K19" s="18">
        <f>ROUND(MOD(H19, (18*0.95)), 2)</f>
        <v/>
      </c>
      <c r="L19" s="18">
        <f>IF(K19&gt;0, ROUNDUP(K19/(5*0.95), 0), 0)</f>
        <v/>
      </c>
      <c r="M19" s="18">
        <f>J19+L19</f>
        <v/>
      </c>
      <c r="N19" s="18">
        <f>ROUND(TREND(G$3:G$94, E$3:E$94, E19), 1)</f>
        <v/>
      </c>
      <c r="O19" s="18">
        <f>ROUND(TREND(G$3:G$94, B$3:E$94, B19:E19), 1)</f>
        <v/>
      </c>
      <c r="P19" s="18">
        <f>ROUND(TREND(G$3:G$94, B$3:F$94, B19:F19), 1)</f>
        <v/>
      </c>
      <c r="Q19" s="18">
        <f>P19*IF(F19=1, 0.85, 0.8)</f>
        <v/>
      </c>
      <c r="R19" s="18">
        <f>INT(Q19/(18*0.95))</f>
        <v/>
      </c>
      <c r="S19" s="18">
        <f>ROUND(MOD(Q19, (18*0.95)), 2)</f>
        <v/>
      </c>
      <c r="T19" s="18">
        <f>IF(S19&gt;0, ROUNDUP(S19/(5*0.95), 0), 0)</f>
        <v/>
      </c>
      <c r="U19" s="18">
        <f>R19+T19</f>
        <v/>
      </c>
      <c r="V19" s="18">
        <f>ROUND(R19*70%, 0)</f>
        <v/>
      </c>
      <c r="W19" s="18">
        <f>MIN(ROUNDUP(R19*0.2, 0), MAX(0, R19 - V19))</f>
        <v/>
      </c>
      <c r="X19" s="17">
        <f>IF(C19&gt;20, "Hủy slot (Mưa &gt; 20mm)", "Kích hoạt")</f>
        <v/>
      </c>
      <c r="Y19" s="18">
        <f>IF(C19&gt;20, 0, W19)</f>
        <v/>
      </c>
      <c r="Z19" s="18">
        <f>IF(C19&gt;20, W19*0.2*AF19, 0)</f>
        <v/>
      </c>
      <c r="AA19" s="18">
        <f>MAX(0, J19 - V19 - Y19)</f>
        <v/>
      </c>
      <c r="AB19" s="18">
        <f>L19</f>
        <v/>
      </c>
      <c r="AC19" s="18">
        <f>V19 + Y19 + AA19</f>
        <v/>
      </c>
      <c r="AD19" s="18">
        <f>AC19 + AB19</f>
        <v/>
      </c>
      <c r="AE19" s="18" t="n">
        <v>9</v>
      </c>
      <c r="AF19" s="18">
        <f>IF(OR(B19&gt;=34, F19=1), 11700000, 9000000)</f>
        <v/>
      </c>
      <c r="AG19" s="18">
        <f>IF(OR(B19&gt;=34, F19=1), 4550000, 3500000)</f>
        <v/>
      </c>
      <c r="AH19" s="18" t="n">
        <v>0.02</v>
      </c>
      <c r="AI19" s="18">
        <f>AVERAGE(J16:J18)</f>
        <v/>
      </c>
      <c r="AJ19" s="18">
        <f>ABS(J19 - AI19)</f>
        <v/>
      </c>
      <c r="AK19" s="18">
        <f>IF(AI19="", 0, IF(AI19&gt;J19, (AI19-J19)*2700000, 0))</f>
        <v/>
      </c>
      <c r="AL19" s="18">
        <f>IF(AI19="", 0, IF(J19&gt;AI19, (J19-AI19)*6000000, 0))</f>
        <v/>
      </c>
      <c r="AM19" s="18">
        <f>AK19 + AL19</f>
        <v/>
      </c>
      <c r="AN19" s="18">
        <f>ABS(AC19 - J19)</f>
        <v/>
      </c>
      <c r="AO19" s="18">
        <f>IF(AC19&gt;J19, (AC19-J19)*2700000, 0)</f>
        <v/>
      </c>
      <c r="AP19" s="18">
        <f>IF(J19&gt;AC19, (J19-AC19)*6000000, 0)</f>
        <v/>
      </c>
      <c r="AQ19" s="18">
        <f>AO19 + AP19 + Z19</f>
        <v/>
      </c>
    </row>
    <row r="20">
      <c r="A20" s="17" t="inlineStr">
        <is>
          <t>Ngày 18 (18/05)</t>
        </is>
      </c>
      <c r="B20" s="18" t="n">
        <v>28.5</v>
      </c>
      <c r="C20" s="18" t="n">
        <v>10</v>
      </c>
      <c r="D20" s="18" t="n">
        <v>0.32</v>
      </c>
      <c r="E20" s="18" t="n">
        <v>158.8</v>
      </c>
      <c r="F20" s="18" t="n">
        <v>0</v>
      </c>
      <c r="G20" s="18" t="n">
        <v>167.6</v>
      </c>
      <c r="H20" s="18">
        <f>G20*IF(F20=1, 0.85, 0.8)</f>
        <v/>
      </c>
      <c r="I20" s="17" t="inlineStr">
        <is>
          <t>2-4</t>
        </is>
      </c>
      <c r="J20" s="18">
        <f>INT(H20/(18*0.95))</f>
        <v/>
      </c>
      <c r="K20" s="18">
        <f>ROUND(MOD(H20, (18*0.95)), 2)</f>
        <v/>
      </c>
      <c r="L20" s="18">
        <f>IF(K20&gt;0, ROUNDUP(K20/(5*0.95), 0), 0)</f>
        <v/>
      </c>
      <c r="M20" s="18">
        <f>J20+L20</f>
        <v/>
      </c>
      <c r="N20" s="18">
        <f>ROUND(TREND(G$3:G$94, E$3:E$94, E20), 1)</f>
        <v/>
      </c>
      <c r="O20" s="18">
        <f>ROUND(TREND(G$3:G$94, B$3:E$94, B20:E20), 1)</f>
        <v/>
      </c>
      <c r="P20" s="18">
        <f>ROUND(TREND(G$3:G$94, B$3:F$94, B20:F20), 1)</f>
        <v/>
      </c>
      <c r="Q20" s="18">
        <f>P20*IF(F20=1, 0.85, 0.8)</f>
        <v/>
      </c>
      <c r="R20" s="18">
        <f>INT(Q20/(18*0.95))</f>
        <v/>
      </c>
      <c r="S20" s="18">
        <f>ROUND(MOD(Q20, (18*0.95)), 2)</f>
        <v/>
      </c>
      <c r="T20" s="18">
        <f>IF(S20&gt;0, ROUNDUP(S20/(5*0.95), 0), 0)</f>
        <v/>
      </c>
      <c r="U20" s="18">
        <f>R20+T20</f>
        <v/>
      </c>
      <c r="V20" s="18">
        <f>ROUND(R20*70%, 0)</f>
        <v/>
      </c>
      <c r="W20" s="18">
        <f>MIN(ROUNDUP(R20*0.2, 0), MAX(0, R20 - V20))</f>
        <v/>
      </c>
      <c r="X20" s="17">
        <f>IF(C20&gt;20, "Hủy slot (Mưa &gt; 20mm)", "Kích hoạt")</f>
        <v/>
      </c>
      <c r="Y20" s="18">
        <f>IF(C20&gt;20, 0, W20)</f>
        <v/>
      </c>
      <c r="Z20" s="18">
        <f>IF(C20&gt;20, W20*0.2*AF20, 0)</f>
        <v/>
      </c>
      <c r="AA20" s="18">
        <f>MAX(0, J20 - V20 - Y20)</f>
        <v/>
      </c>
      <c r="AB20" s="18">
        <f>L20</f>
        <v/>
      </c>
      <c r="AC20" s="18">
        <f>V20 + Y20 + AA20</f>
        <v/>
      </c>
      <c r="AD20" s="18">
        <f>AC20 + AB20</f>
        <v/>
      </c>
      <c r="AE20" s="18" t="n">
        <v>9</v>
      </c>
      <c r="AF20" s="18">
        <f>IF(OR(B20&gt;=34, F20=1), 11700000, 9000000)</f>
        <v/>
      </c>
      <c r="AG20" s="18">
        <f>IF(OR(B20&gt;=34, F20=1), 4550000, 3500000)</f>
        <v/>
      </c>
      <c r="AH20" s="18" t="n">
        <v>0.02</v>
      </c>
      <c r="AI20" s="18">
        <f>AVERAGE(J17:J19)</f>
        <v/>
      </c>
      <c r="AJ20" s="18">
        <f>ABS(J20 - AI20)</f>
        <v/>
      </c>
      <c r="AK20" s="18">
        <f>IF(AI20="", 0, IF(AI20&gt;J20, (AI20-J20)*2700000, 0))</f>
        <v/>
      </c>
      <c r="AL20" s="18">
        <f>IF(AI20="", 0, IF(J20&gt;AI20, (J20-AI20)*6000000, 0))</f>
        <v/>
      </c>
      <c r="AM20" s="18">
        <f>AK20 + AL20</f>
        <v/>
      </c>
      <c r="AN20" s="18">
        <f>ABS(AC20 - J20)</f>
        <v/>
      </c>
      <c r="AO20" s="18">
        <f>IF(AC20&gt;J20, (AC20-J20)*2700000, 0)</f>
        <v/>
      </c>
      <c r="AP20" s="18">
        <f>IF(J20&gt;AC20, (J20-AC20)*6000000, 0)</f>
        <v/>
      </c>
      <c r="AQ20" s="18">
        <f>AO20 + AP20 + Z20</f>
        <v/>
      </c>
    </row>
    <row r="21">
      <c r="A21" s="17" t="inlineStr">
        <is>
          <t>Ngày 19 (19/05)</t>
        </is>
      </c>
      <c r="B21" s="18" t="n">
        <v>30</v>
      </c>
      <c r="C21" s="18" t="n">
        <v>0</v>
      </c>
      <c r="D21" s="18" t="n">
        <v>0.33</v>
      </c>
      <c r="E21" s="18" t="n">
        <v>154.4</v>
      </c>
      <c r="F21" s="18" t="n">
        <v>0</v>
      </c>
      <c r="G21" s="18" t="n">
        <v>175.2</v>
      </c>
      <c r="H21" s="18">
        <f>G21*IF(F21=1, 0.85, 0.8)</f>
        <v/>
      </c>
      <c r="I21" s="17" t="inlineStr">
        <is>
          <t>2-4</t>
        </is>
      </c>
      <c r="J21" s="18">
        <f>INT(H21/(18*0.95))</f>
        <v/>
      </c>
      <c r="K21" s="18">
        <f>ROUND(MOD(H21, (18*0.95)), 2)</f>
        <v/>
      </c>
      <c r="L21" s="18">
        <f>IF(K21&gt;0, ROUNDUP(K21/(5*0.95), 0), 0)</f>
        <v/>
      </c>
      <c r="M21" s="18">
        <f>J21+L21</f>
        <v/>
      </c>
      <c r="N21" s="18">
        <f>ROUND(TREND(G$3:G$94, E$3:E$94, E21), 1)</f>
        <v/>
      </c>
      <c r="O21" s="18">
        <f>ROUND(TREND(G$3:G$94, B$3:E$94, B21:E21), 1)</f>
        <v/>
      </c>
      <c r="P21" s="18">
        <f>ROUND(TREND(G$3:G$94, B$3:F$94, B21:F21), 1)</f>
        <v/>
      </c>
      <c r="Q21" s="18">
        <f>P21*IF(F21=1, 0.85, 0.8)</f>
        <v/>
      </c>
      <c r="R21" s="18">
        <f>INT(Q21/(18*0.95))</f>
        <v/>
      </c>
      <c r="S21" s="18">
        <f>ROUND(MOD(Q21, (18*0.95)), 2)</f>
        <v/>
      </c>
      <c r="T21" s="18">
        <f>IF(S21&gt;0, ROUNDUP(S21/(5*0.95), 0), 0)</f>
        <v/>
      </c>
      <c r="U21" s="18">
        <f>R21+T21</f>
        <v/>
      </c>
      <c r="V21" s="18">
        <f>ROUND(R21*70%, 0)</f>
        <v/>
      </c>
      <c r="W21" s="18">
        <f>MIN(ROUNDUP(R21*0.2, 0), MAX(0, R21 - V21))</f>
        <v/>
      </c>
      <c r="X21" s="17">
        <f>IF(C21&gt;20, "Hủy slot (Mưa &gt; 20mm)", "Kích hoạt")</f>
        <v/>
      </c>
      <c r="Y21" s="18">
        <f>IF(C21&gt;20, 0, W21)</f>
        <v/>
      </c>
      <c r="Z21" s="18">
        <f>IF(C21&gt;20, W21*0.2*AF21, 0)</f>
        <v/>
      </c>
      <c r="AA21" s="18">
        <f>MAX(0, J21 - V21 - Y21)</f>
        <v/>
      </c>
      <c r="AB21" s="18">
        <f>L21</f>
        <v/>
      </c>
      <c r="AC21" s="18">
        <f>V21 + Y21 + AA21</f>
        <v/>
      </c>
      <c r="AD21" s="18">
        <f>AC21 + AB21</f>
        <v/>
      </c>
      <c r="AE21" s="18" t="n">
        <v>9</v>
      </c>
      <c r="AF21" s="18">
        <f>IF(OR(B21&gt;=34, F21=1), 11700000, 9000000)</f>
        <v/>
      </c>
      <c r="AG21" s="18">
        <f>IF(OR(B21&gt;=34, F21=1), 4550000, 3500000)</f>
        <v/>
      </c>
      <c r="AH21" s="18" t="n">
        <v>0.02</v>
      </c>
      <c r="AI21" s="18">
        <f>AVERAGE(J18:J20)</f>
        <v/>
      </c>
      <c r="AJ21" s="18">
        <f>ABS(J21 - AI21)</f>
        <v/>
      </c>
      <c r="AK21" s="18">
        <f>IF(AI21="", 0, IF(AI21&gt;J21, (AI21-J21)*2700000, 0))</f>
        <v/>
      </c>
      <c r="AL21" s="18">
        <f>IF(AI21="", 0, IF(J21&gt;AI21, (J21-AI21)*6000000, 0))</f>
        <v/>
      </c>
      <c r="AM21" s="18">
        <f>AK21 + AL21</f>
        <v/>
      </c>
      <c r="AN21" s="18">
        <f>ABS(AC21 - J21)</f>
        <v/>
      </c>
      <c r="AO21" s="18">
        <f>IF(AC21&gt;J21, (AC21-J21)*2700000, 0)</f>
        <v/>
      </c>
      <c r="AP21" s="18">
        <f>IF(J21&gt;AC21, (J21-AC21)*6000000, 0)</f>
        <v/>
      </c>
      <c r="AQ21" s="18">
        <f>AO21 + AP21 + Z21</f>
        <v/>
      </c>
    </row>
    <row r="22">
      <c r="A22" s="17" t="inlineStr">
        <is>
          <t>Ngày 20 (20/05)</t>
        </is>
      </c>
      <c r="B22" s="18" t="n">
        <v>30.7</v>
      </c>
      <c r="C22" s="18" t="n">
        <v>0</v>
      </c>
      <c r="D22" s="18" t="n">
        <v>0.35</v>
      </c>
      <c r="E22" s="18" t="n">
        <v>190.4</v>
      </c>
      <c r="F22" s="18" t="n">
        <v>0</v>
      </c>
      <c r="G22" s="18" t="n">
        <v>196.8</v>
      </c>
      <c r="H22" s="18">
        <f>G22*IF(F22=1, 0.85, 0.8)</f>
        <v/>
      </c>
      <c r="I22" s="17" t="inlineStr">
        <is>
          <t>2-4</t>
        </is>
      </c>
      <c r="J22" s="18">
        <f>INT(H22/(18*0.95))</f>
        <v/>
      </c>
      <c r="K22" s="18">
        <f>ROUND(MOD(H22, (18*0.95)), 2)</f>
        <v/>
      </c>
      <c r="L22" s="18">
        <f>IF(K22&gt;0, ROUNDUP(K22/(5*0.95), 0), 0)</f>
        <v/>
      </c>
      <c r="M22" s="18">
        <f>J22+L22</f>
        <v/>
      </c>
      <c r="N22" s="18">
        <f>ROUND(TREND(G$3:G$94, E$3:E$94, E22), 1)</f>
        <v/>
      </c>
      <c r="O22" s="18">
        <f>ROUND(TREND(G$3:G$94, B$3:E$94, B22:E22), 1)</f>
        <v/>
      </c>
      <c r="P22" s="18">
        <f>ROUND(TREND(G$3:G$94, B$3:F$94, B22:F22), 1)</f>
        <v/>
      </c>
      <c r="Q22" s="18">
        <f>P22*IF(F22=1, 0.85, 0.8)</f>
        <v/>
      </c>
      <c r="R22" s="18">
        <f>INT(Q22/(18*0.95))</f>
        <v/>
      </c>
      <c r="S22" s="18">
        <f>ROUND(MOD(Q22, (18*0.95)), 2)</f>
        <v/>
      </c>
      <c r="T22" s="18">
        <f>IF(S22&gt;0, ROUNDUP(S22/(5*0.95), 0), 0)</f>
        <v/>
      </c>
      <c r="U22" s="18">
        <f>R22+T22</f>
        <v/>
      </c>
      <c r="V22" s="18">
        <f>ROUND(R22*70%, 0)</f>
        <v/>
      </c>
      <c r="W22" s="18">
        <f>MIN(ROUNDUP(R22*0.2, 0), MAX(0, R22 - V22))</f>
        <v/>
      </c>
      <c r="X22" s="17">
        <f>IF(C22&gt;20, "Hủy slot (Mưa &gt; 20mm)", "Kích hoạt")</f>
        <v/>
      </c>
      <c r="Y22" s="18">
        <f>IF(C22&gt;20, 0, W22)</f>
        <v/>
      </c>
      <c r="Z22" s="18">
        <f>IF(C22&gt;20, W22*0.2*AF22, 0)</f>
        <v/>
      </c>
      <c r="AA22" s="18">
        <f>MAX(0, J22 - V22 - Y22)</f>
        <v/>
      </c>
      <c r="AB22" s="18">
        <f>L22</f>
        <v/>
      </c>
      <c r="AC22" s="18">
        <f>V22 + Y22 + AA22</f>
        <v/>
      </c>
      <c r="AD22" s="18">
        <f>AC22 + AB22</f>
        <v/>
      </c>
      <c r="AE22" s="18" t="n">
        <v>9</v>
      </c>
      <c r="AF22" s="18">
        <f>IF(OR(B22&gt;=34, F22=1), 11700000, 9000000)</f>
        <v/>
      </c>
      <c r="AG22" s="18">
        <f>IF(OR(B22&gt;=34, F22=1), 4550000, 3500000)</f>
        <v/>
      </c>
      <c r="AH22" s="18" t="n">
        <v>0.02</v>
      </c>
      <c r="AI22" s="18">
        <f>AVERAGE(J19:J21)</f>
        <v/>
      </c>
      <c r="AJ22" s="18">
        <f>ABS(J22 - AI22)</f>
        <v/>
      </c>
      <c r="AK22" s="18">
        <f>IF(AI22="", 0, IF(AI22&gt;J22, (AI22-J22)*2700000, 0))</f>
        <v/>
      </c>
      <c r="AL22" s="18">
        <f>IF(AI22="", 0, IF(J22&gt;AI22, (J22-AI22)*6000000, 0))</f>
        <v/>
      </c>
      <c r="AM22" s="18">
        <f>AK22 + AL22</f>
        <v/>
      </c>
      <c r="AN22" s="18">
        <f>ABS(AC22 - J22)</f>
        <v/>
      </c>
      <c r="AO22" s="18">
        <f>IF(AC22&gt;J22, (AC22-J22)*2700000, 0)</f>
        <v/>
      </c>
      <c r="AP22" s="18">
        <f>IF(J22&gt;AC22, (J22-AC22)*6000000, 0)</f>
        <v/>
      </c>
      <c r="AQ22" s="18">
        <f>AO22 + AP22 + Z22</f>
        <v/>
      </c>
    </row>
    <row r="23">
      <c r="A23" s="17" t="inlineStr">
        <is>
          <t>Ngày 21 (21/05)</t>
        </is>
      </c>
      <c r="B23" s="18" t="n">
        <v>30.3</v>
      </c>
      <c r="C23" s="18" t="n">
        <v>0</v>
      </c>
      <c r="D23" s="18" t="n">
        <v>0.36</v>
      </c>
      <c r="E23" s="18" t="n">
        <v>198.6</v>
      </c>
      <c r="F23" s="18" t="n">
        <v>1</v>
      </c>
      <c r="G23" s="18" t="n">
        <v>251.1</v>
      </c>
      <c r="H23" s="18">
        <f>G23*IF(F23=1, 0.85, 0.8)</f>
        <v/>
      </c>
      <c r="I23" s="17" t="inlineStr">
        <is>
          <t>2-4</t>
        </is>
      </c>
      <c r="J23" s="18">
        <f>INT(H23/(18*0.95))</f>
        <v/>
      </c>
      <c r="K23" s="18">
        <f>ROUND(MOD(H23, (18*0.95)), 2)</f>
        <v/>
      </c>
      <c r="L23" s="18">
        <f>IF(K23&gt;0, ROUNDUP(K23/(5*0.95), 0), 0)</f>
        <v/>
      </c>
      <c r="M23" s="18">
        <f>J23+L23</f>
        <v/>
      </c>
      <c r="N23" s="18">
        <f>ROUND(TREND(G$3:G$94, E$3:E$94, E23), 1)</f>
        <v/>
      </c>
      <c r="O23" s="18">
        <f>ROUND(TREND(G$3:G$94, B$3:E$94, B23:E23), 1)</f>
        <v/>
      </c>
      <c r="P23" s="18">
        <f>ROUND(TREND(G$3:G$94, B$3:F$94, B23:F23), 1)</f>
        <v/>
      </c>
      <c r="Q23" s="18">
        <f>P23*IF(F23=1, 0.85, 0.8)</f>
        <v/>
      </c>
      <c r="R23" s="18">
        <f>INT(Q23/(18*0.95))</f>
        <v/>
      </c>
      <c r="S23" s="18">
        <f>ROUND(MOD(Q23, (18*0.95)), 2)</f>
        <v/>
      </c>
      <c r="T23" s="18">
        <f>IF(S23&gt;0, ROUNDUP(S23/(5*0.95), 0), 0)</f>
        <v/>
      </c>
      <c r="U23" s="18">
        <f>R23+T23</f>
        <v/>
      </c>
      <c r="V23" s="18">
        <f>ROUND(R23*70%, 0)</f>
        <v/>
      </c>
      <c r="W23" s="18">
        <f>MIN(ROUNDUP(R23*0.2, 0), MAX(0, R23 - V23))</f>
        <v/>
      </c>
      <c r="X23" s="17">
        <f>IF(C23&gt;20, "Hủy slot (Mưa &gt; 20mm)", "Kích hoạt")</f>
        <v/>
      </c>
      <c r="Y23" s="18">
        <f>IF(C23&gt;20, 0, W23)</f>
        <v/>
      </c>
      <c r="Z23" s="18">
        <f>IF(C23&gt;20, W23*0.2*AF23, 0)</f>
        <v/>
      </c>
      <c r="AA23" s="18">
        <f>MAX(0, J23 - V23 - Y23)</f>
        <v/>
      </c>
      <c r="AB23" s="18">
        <f>L23</f>
        <v/>
      </c>
      <c r="AC23" s="18">
        <f>V23 + Y23 + AA23</f>
        <v/>
      </c>
      <c r="AD23" s="18">
        <f>AC23 + AB23</f>
        <v/>
      </c>
      <c r="AE23" s="18" t="n">
        <v>9</v>
      </c>
      <c r="AF23" s="18">
        <f>IF(OR(B23&gt;=34, F23=1), 11700000, 9000000)</f>
        <v/>
      </c>
      <c r="AG23" s="18">
        <f>IF(OR(B23&gt;=34, F23=1), 4550000, 3500000)</f>
        <v/>
      </c>
      <c r="AH23" s="18" t="n">
        <v>0.02</v>
      </c>
      <c r="AI23" s="18">
        <f>AVERAGE(J20:J22)</f>
        <v/>
      </c>
      <c r="AJ23" s="18">
        <f>ABS(J23 - AI23)</f>
        <v/>
      </c>
      <c r="AK23" s="18">
        <f>IF(AI23="", 0, IF(AI23&gt;J23, (AI23-J23)*2700000, 0))</f>
        <v/>
      </c>
      <c r="AL23" s="18">
        <f>IF(AI23="", 0, IF(J23&gt;AI23, (J23-AI23)*6000000, 0))</f>
        <v/>
      </c>
      <c r="AM23" s="18">
        <f>AK23 + AL23</f>
        <v/>
      </c>
      <c r="AN23" s="18">
        <f>ABS(AC23 - J23)</f>
        <v/>
      </c>
      <c r="AO23" s="18">
        <f>IF(AC23&gt;J23, (AC23-J23)*2700000, 0)</f>
        <v/>
      </c>
      <c r="AP23" s="18">
        <f>IF(J23&gt;AC23, (J23-AC23)*6000000, 0)</f>
        <v/>
      </c>
      <c r="AQ23" s="18">
        <f>AO23 + AP23 + Z23</f>
        <v/>
      </c>
    </row>
    <row r="24">
      <c r="A24" s="17" t="inlineStr">
        <is>
          <t>Ngày 22 (22/05)</t>
        </is>
      </c>
      <c r="B24" s="18" t="n">
        <v>29.9</v>
      </c>
      <c r="C24" s="18" t="n">
        <v>25</v>
      </c>
      <c r="D24" s="18" t="n">
        <v>0.37</v>
      </c>
      <c r="E24" s="18" t="n">
        <v>225.4</v>
      </c>
      <c r="F24" s="18" t="n">
        <v>1</v>
      </c>
      <c r="G24" s="18" t="n">
        <v>183.6</v>
      </c>
      <c r="H24" s="18">
        <f>G24*IF(F24=1, 0.85, 0.8)</f>
        <v/>
      </c>
      <c r="I24" s="17" t="inlineStr">
        <is>
          <t>2-4</t>
        </is>
      </c>
      <c r="J24" s="18">
        <f>INT(H24/(18*0.95))</f>
        <v/>
      </c>
      <c r="K24" s="18">
        <f>ROUND(MOD(H24, (18*0.95)), 2)</f>
        <v/>
      </c>
      <c r="L24" s="18">
        <f>IF(K24&gt;0, ROUNDUP(K24/(5*0.95), 0), 0)</f>
        <v/>
      </c>
      <c r="M24" s="18">
        <f>J24+L24</f>
        <v/>
      </c>
      <c r="N24" s="18">
        <f>ROUND(TREND(G$3:G$94, E$3:E$94, E24), 1)</f>
        <v/>
      </c>
      <c r="O24" s="18">
        <f>ROUND(TREND(G$3:G$94, B$3:E$94, B24:E24), 1)</f>
        <v/>
      </c>
      <c r="P24" s="18">
        <f>ROUND(TREND(G$3:G$94, B$3:F$94, B24:F24), 1)</f>
        <v/>
      </c>
      <c r="Q24" s="18">
        <f>P24*IF(F24=1, 0.85, 0.8)</f>
        <v/>
      </c>
      <c r="R24" s="18">
        <f>INT(Q24/(18*0.95))</f>
        <v/>
      </c>
      <c r="S24" s="18">
        <f>ROUND(MOD(Q24, (18*0.95)), 2)</f>
        <v/>
      </c>
      <c r="T24" s="18">
        <f>IF(S24&gt;0, ROUNDUP(S24/(5*0.95), 0), 0)</f>
        <v/>
      </c>
      <c r="U24" s="18">
        <f>R24+T24</f>
        <v/>
      </c>
      <c r="V24" s="18">
        <f>ROUND(R24*70%, 0)</f>
        <v/>
      </c>
      <c r="W24" s="18">
        <f>MIN(ROUNDUP(R24*0.2, 0), MAX(0, R24 - V24))</f>
        <v/>
      </c>
      <c r="X24" s="17">
        <f>IF(C24&gt;20, "Hủy slot (Mưa &gt; 20mm)", "Kích hoạt")</f>
        <v/>
      </c>
      <c r="Y24" s="18">
        <f>IF(C24&gt;20, 0, W24)</f>
        <v/>
      </c>
      <c r="Z24" s="18">
        <f>IF(C24&gt;20, W24*0.2*AF24, 0)</f>
        <v/>
      </c>
      <c r="AA24" s="18">
        <f>MAX(0, J24 - V24 - Y24)</f>
        <v/>
      </c>
      <c r="AB24" s="18">
        <f>L24</f>
        <v/>
      </c>
      <c r="AC24" s="18">
        <f>V24 + Y24 + AA24</f>
        <v/>
      </c>
      <c r="AD24" s="18">
        <f>AC24 + AB24</f>
        <v/>
      </c>
      <c r="AE24" s="18" t="n">
        <v>9</v>
      </c>
      <c r="AF24" s="18">
        <f>IF(OR(B24&gt;=34, F24=1), 11700000, 9000000)</f>
        <v/>
      </c>
      <c r="AG24" s="18">
        <f>IF(OR(B24&gt;=34, F24=1), 4550000, 3500000)</f>
        <v/>
      </c>
      <c r="AH24" s="18" t="n">
        <v>0.02</v>
      </c>
      <c r="AI24" s="18">
        <f>AVERAGE(J21:J23)</f>
        <v/>
      </c>
      <c r="AJ24" s="18">
        <f>ABS(J24 - AI24)</f>
        <v/>
      </c>
      <c r="AK24" s="18">
        <f>IF(AI24="", 0, IF(AI24&gt;J24, (AI24-J24)*2700000, 0))</f>
        <v/>
      </c>
      <c r="AL24" s="18">
        <f>IF(AI24="", 0, IF(J24&gt;AI24, (J24-AI24)*6000000, 0))</f>
        <v/>
      </c>
      <c r="AM24" s="18">
        <f>AK24 + AL24</f>
        <v/>
      </c>
      <c r="AN24" s="18">
        <f>ABS(AC24 - J24)</f>
        <v/>
      </c>
      <c r="AO24" s="18">
        <f>IF(AC24&gt;J24, (AC24-J24)*2700000, 0)</f>
        <v/>
      </c>
      <c r="AP24" s="18">
        <f>IF(J24&gt;AC24, (J24-AC24)*6000000, 0)</f>
        <v/>
      </c>
      <c r="AQ24" s="18">
        <f>AO24 + AP24 + Z24</f>
        <v/>
      </c>
    </row>
    <row r="25">
      <c r="A25" s="17" t="inlineStr">
        <is>
          <t>Ngày 23 (23/05)</t>
        </is>
      </c>
      <c r="B25" s="18" t="n">
        <v>30.4</v>
      </c>
      <c r="C25" s="18" t="n">
        <v>0</v>
      </c>
      <c r="D25" s="18" t="n">
        <v>0.38</v>
      </c>
      <c r="E25" s="18" t="n">
        <v>217.2</v>
      </c>
      <c r="F25" s="18" t="n">
        <v>0</v>
      </c>
      <c r="G25" s="18" t="n">
        <v>219</v>
      </c>
      <c r="H25" s="18">
        <f>G25*IF(F25=1, 0.85, 0.8)</f>
        <v/>
      </c>
      <c r="I25" s="17" t="inlineStr">
        <is>
          <t>2-4</t>
        </is>
      </c>
      <c r="J25" s="18">
        <f>INT(H25/(18*0.95))</f>
        <v/>
      </c>
      <c r="K25" s="18">
        <f>ROUND(MOD(H25, (18*0.95)), 2)</f>
        <v/>
      </c>
      <c r="L25" s="18">
        <f>IF(K25&gt;0, ROUNDUP(K25/(5*0.95), 0), 0)</f>
        <v/>
      </c>
      <c r="M25" s="18">
        <f>J25+L25</f>
        <v/>
      </c>
      <c r="N25" s="18">
        <f>ROUND(TREND(G$3:G$94, E$3:E$94, E25), 1)</f>
        <v/>
      </c>
      <c r="O25" s="18">
        <f>ROUND(TREND(G$3:G$94, B$3:E$94, B25:E25), 1)</f>
        <v/>
      </c>
      <c r="P25" s="18">
        <f>ROUND(TREND(G$3:G$94, B$3:F$94, B25:F25), 1)</f>
        <v/>
      </c>
      <c r="Q25" s="18">
        <f>P25*IF(F25=1, 0.85, 0.8)</f>
        <v/>
      </c>
      <c r="R25" s="18">
        <f>INT(Q25/(18*0.95))</f>
        <v/>
      </c>
      <c r="S25" s="18">
        <f>ROUND(MOD(Q25, (18*0.95)), 2)</f>
        <v/>
      </c>
      <c r="T25" s="18">
        <f>IF(S25&gt;0, ROUNDUP(S25/(5*0.95), 0), 0)</f>
        <v/>
      </c>
      <c r="U25" s="18">
        <f>R25+T25</f>
        <v/>
      </c>
      <c r="V25" s="18">
        <f>ROUND(R25*70%, 0)</f>
        <v/>
      </c>
      <c r="W25" s="18">
        <f>MIN(ROUNDUP(R25*0.2, 0), MAX(0, R25 - V25))</f>
        <v/>
      </c>
      <c r="X25" s="17">
        <f>IF(C25&gt;20, "Hủy slot (Mưa &gt; 20mm)", "Kích hoạt")</f>
        <v/>
      </c>
      <c r="Y25" s="18">
        <f>IF(C25&gt;20, 0, W25)</f>
        <v/>
      </c>
      <c r="Z25" s="18">
        <f>IF(C25&gt;20, W25*0.2*AF25, 0)</f>
        <v/>
      </c>
      <c r="AA25" s="18">
        <f>MAX(0, J25 - V25 - Y25)</f>
        <v/>
      </c>
      <c r="AB25" s="18">
        <f>L25</f>
        <v/>
      </c>
      <c r="AC25" s="18">
        <f>V25 + Y25 + AA25</f>
        <v/>
      </c>
      <c r="AD25" s="18">
        <f>AC25 + AB25</f>
        <v/>
      </c>
      <c r="AE25" s="18" t="n">
        <v>9</v>
      </c>
      <c r="AF25" s="18">
        <f>IF(OR(B25&gt;=34, F25=1), 11700000, 9000000)</f>
        <v/>
      </c>
      <c r="AG25" s="18">
        <f>IF(OR(B25&gt;=34, F25=1), 4550000, 3500000)</f>
        <v/>
      </c>
      <c r="AH25" s="18" t="n">
        <v>0.02</v>
      </c>
      <c r="AI25" s="18">
        <f>AVERAGE(J22:J24)</f>
        <v/>
      </c>
      <c r="AJ25" s="18">
        <f>ABS(J25 - AI25)</f>
        <v/>
      </c>
      <c r="AK25" s="18">
        <f>IF(AI25="", 0, IF(AI25&gt;J25, (AI25-J25)*2700000, 0))</f>
        <v/>
      </c>
      <c r="AL25" s="18">
        <f>IF(AI25="", 0, IF(J25&gt;AI25, (J25-AI25)*6000000, 0))</f>
        <v/>
      </c>
      <c r="AM25" s="18">
        <f>AK25 + AL25</f>
        <v/>
      </c>
      <c r="AN25" s="18">
        <f>ABS(AC25 - J25)</f>
        <v/>
      </c>
      <c r="AO25" s="18">
        <f>IF(AC25&gt;J25, (AC25-J25)*2700000, 0)</f>
        <v/>
      </c>
      <c r="AP25" s="18">
        <f>IF(J25&gt;AC25, (J25-AC25)*6000000, 0)</f>
        <v/>
      </c>
      <c r="AQ25" s="18">
        <f>AO25 + AP25 + Z25</f>
        <v/>
      </c>
    </row>
    <row r="26">
      <c r="A26" s="17" t="inlineStr">
        <is>
          <t>Ngày 24 (24/05)</t>
        </is>
      </c>
      <c r="B26" s="18" t="n">
        <v>30.7</v>
      </c>
      <c r="C26" s="18" t="n">
        <v>0</v>
      </c>
      <c r="D26" s="18" t="n">
        <v>0.39</v>
      </c>
      <c r="E26" s="18" t="n">
        <v>256.5</v>
      </c>
      <c r="F26" s="18" t="n">
        <v>0</v>
      </c>
      <c r="G26" s="18" t="n">
        <v>233.6</v>
      </c>
      <c r="H26" s="18">
        <f>G26*IF(F26=1, 0.85, 0.8)</f>
        <v/>
      </c>
      <c r="I26" s="17" t="inlineStr">
        <is>
          <t>2-4</t>
        </is>
      </c>
      <c r="J26" s="18">
        <f>INT(H26/(18*0.95))</f>
        <v/>
      </c>
      <c r="K26" s="18">
        <f>ROUND(MOD(H26, (18*0.95)), 2)</f>
        <v/>
      </c>
      <c r="L26" s="18">
        <f>IF(K26&gt;0, ROUNDUP(K26/(5*0.95), 0), 0)</f>
        <v/>
      </c>
      <c r="M26" s="18">
        <f>J26+L26</f>
        <v/>
      </c>
      <c r="N26" s="18">
        <f>ROUND(TREND(G$3:G$94, E$3:E$94, E26), 1)</f>
        <v/>
      </c>
      <c r="O26" s="18">
        <f>ROUND(TREND(G$3:G$94, B$3:E$94, B26:E26), 1)</f>
        <v/>
      </c>
      <c r="P26" s="18">
        <f>ROUND(TREND(G$3:G$94, B$3:F$94, B26:F26), 1)</f>
        <v/>
      </c>
      <c r="Q26" s="18">
        <f>P26*IF(F26=1, 0.85, 0.8)</f>
        <v/>
      </c>
      <c r="R26" s="18">
        <f>INT(Q26/(18*0.95))</f>
        <v/>
      </c>
      <c r="S26" s="18">
        <f>ROUND(MOD(Q26, (18*0.95)), 2)</f>
        <v/>
      </c>
      <c r="T26" s="18">
        <f>IF(S26&gt;0, ROUNDUP(S26/(5*0.95), 0), 0)</f>
        <v/>
      </c>
      <c r="U26" s="18">
        <f>R26+T26</f>
        <v/>
      </c>
      <c r="V26" s="18">
        <f>ROUND(R26*70%, 0)</f>
        <v/>
      </c>
      <c r="W26" s="18">
        <f>MIN(ROUNDUP(R26*0.2, 0), MAX(0, R26 - V26))</f>
        <v/>
      </c>
      <c r="X26" s="17">
        <f>IF(C26&gt;20, "Hủy slot (Mưa &gt; 20mm)", "Kích hoạt")</f>
        <v/>
      </c>
      <c r="Y26" s="18">
        <f>IF(C26&gt;20, 0, W26)</f>
        <v/>
      </c>
      <c r="Z26" s="18">
        <f>IF(C26&gt;20, W26*0.2*AF26, 0)</f>
        <v/>
      </c>
      <c r="AA26" s="18">
        <f>MAX(0, J26 - V26 - Y26)</f>
        <v/>
      </c>
      <c r="AB26" s="18">
        <f>L26</f>
        <v/>
      </c>
      <c r="AC26" s="18">
        <f>V26 + Y26 + AA26</f>
        <v/>
      </c>
      <c r="AD26" s="18">
        <f>AC26 + AB26</f>
        <v/>
      </c>
      <c r="AE26" s="18" t="n">
        <v>9</v>
      </c>
      <c r="AF26" s="18">
        <f>IF(OR(B26&gt;=34, F26=1), 11700000, 9000000)</f>
        <v/>
      </c>
      <c r="AG26" s="18">
        <f>IF(OR(B26&gt;=34, F26=1), 4550000, 3500000)</f>
        <v/>
      </c>
      <c r="AH26" s="18" t="n">
        <v>0.02</v>
      </c>
      <c r="AI26" s="18">
        <f>AVERAGE(J23:J25)</f>
        <v/>
      </c>
      <c r="AJ26" s="18">
        <f>ABS(J26 - AI26)</f>
        <v/>
      </c>
      <c r="AK26" s="18">
        <f>IF(AI26="", 0, IF(AI26&gt;J26, (AI26-J26)*2700000, 0))</f>
        <v/>
      </c>
      <c r="AL26" s="18">
        <f>IF(AI26="", 0, IF(J26&gt;AI26, (J26-AI26)*6000000, 0))</f>
        <v/>
      </c>
      <c r="AM26" s="18">
        <f>AK26 + AL26</f>
        <v/>
      </c>
      <c r="AN26" s="18">
        <f>ABS(AC26 - J26)</f>
        <v/>
      </c>
      <c r="AO26" s="18">
        <f>IF(AC26&gt;J26, (AC26-J26)*2700000, 0)</f>
        <v/>
      </c>
      <c r="AP26" s="18">
        <f>IF(J26&gt;AC26, (J26-AC26)*6000000, 0)</f>
        <v/>
      </c>
      <c r="AQ26" s="18">
        <f>AO26 + AP26 + Z26</f>
        <v/>
      </c>
    </row>
    <row r="27">
      <c r="A27" s="17" t="inlineStr">
        <is>
          <t>Ngày 25 (25/05)</t>
        </is>
      </c>
      <c r="B27" s="18" t="n">
        <v>29.2</v>
      </c>
      <c r="C27" s="18" t="n">
        <v>0</v>
      </c>
      <c r="D27" s="18" t="n">
        <v>0.41</v>
      </c>
      <c r="E27" s="18" t="n">
        <v>260</v>
      </c>
      <c r="F27" s="18" t="n">
        <v>0</v>
      </c>
      <c r="G27" s="18" t="n">
        <v>246.4</v>
      </c>
      <c r="H27" s="18">
        <f>G27*IF(F27=1, 0.85, 0.8)</f>
        <v/>
      </c>
      <c r="I27" s="17" t="inlineStr">
        <is>
          <t>2-4</t>
        </is>
      </c>
      <c r="J27" s="18">
        <f>INT(H27/(18*0.95))</f>
        <v/>
      </c>
      <c r="K27" s="18">
        <f>ROUND(MOD(H27, (18*0.95)), 2)</f>
        <v/>
      </c>
      <c r="L27" s="18">
        <f>IF(K27&gt;0, ROUNDUP(K27/(5*0.95), 0), 0)</f>
        <v/>
      </c>
      <c r="M27" s="18">
        <f>J27+L27</f>
        <v/>
      </c>
      <c r="N27" s="18">
        <f>ROUND(TREND(G$3:G$94, E$3:E$94, E27), 1)</f>
        <v/>
      </c>
      <c r="O27" s="18">
        <f>ROUND(TREND(G$3:G$94, B$3:E$94, B27:E27), 1)</f>
        <v/>
      </c>
      <c r="P27" s="18">
        <f>ROUND(TREND(G$3:G$94, B$3:F$94, B27:F27), 1)</f>
        <v/>
      </c>
      <c r="Q27" s="18">
        <f>P27*IF(F27=1, 0.85, 0.8)</f>
        <v/>
      </c>
      <c r="R27" s="18">
        <f>INT(Q27/(18*0.95))</f>
        <v/>
      </c>
      <c r="S27" s="18">
        <f>ROUND(MOD(Q27, (18*0.95)), 2)</f>
        <v/>
      </c>
      <c r="T27" s="18">
        <f>IF(S27&gt;0, ROUNDUP(S27/(5*0.95), 0), 0)</f>
        <v/>
      </c>
      <c r="U27" s="18">
        <f>R27+T27</f>
        <v/>
      </c>
      <c r="V27" s="18">
        <f>ROUND(R27*70%, 0)</f>
        <v/>
      </c>
      <c r="W27" s="18">
        <f>MIN(ROUNDUP(R27*0.2, 0), MAX(0, R27 - V27))</f>
        <v/>
      </c>
      <c r="X27" s="17">
        <f>IF(C27&gt;20, "Hủy slot (Mưa &gt; 20mm)", "Kích hoạt")</f>
        <v/>
      </c>
      <c r="Y27" s="18">
        <f>IF(C27&gt;20, 0, W27)</f>
        <v/>
      </c>
      <c r="Z27" s="18">
        <f>IF(C27&gt;20, W27*0.2*AF27, 0)</f>
        <v/>
      </c>
      <c r="AA27" s="18">
        <f>MAX(0, J27 - V27 - Y27)</f>
        <v/>
      </c>
      <c r="AB27" s="18">
        <f>L27</f>
        <v/>
      </c>
      <c r="AC27" s="18">
        <f>V27 + Y27 + AA27</f>
        <v/>
      </c>
      <c r="AD27" s="18">
        <f>AC27 + AB27</f>
        <v/>
      </c>
      <c r="AE27" s="18" t="n">
        <v>9</v>
      </c>
      <c r="AF27" s="18">
        <f>IF(OR(B27&gt;=34, F27=1), 11700000, 9000000)</f>
        <v/>
      </c>
      <c r="AG27" s="18">
        <f>IF(OR(B27&gt;=34, F27=1), 4550000, 3500000)</f>
        <v/>
      </c>
      <c r="AH27" s="18" t="n">
        <v>0.02</v>
      </c>
      <c r="AI27" s="18">
        <f>AVERAGE(J24:J26)</f>
        <v/>
      </c>
      <c r="AJ27" s="18">
        <f>ABS(J27 - AI27)</f>
        <v/>
      </c>
      <c r="AK27" s="18">
        <f>IF(AI27="", 0, IF(AI27&gt;J27, (AI27-J27)*2700000, 0))</f>
        <v/>
      </c>
      <c r="AL27" s="18">
        <f>IF(AI27="", 0, IF(J27&gt;AI27, (J27-AI27)*6000000, 0))</f>
        <v/>
      </c>
      <c r="AM27" s="18">
        <f>AK27 + AL27</f>
        <v/>
      </c>
      <c r="AN27" s="18">
        <f>ABS(AC27 - J27)</f>
        <v/>
      </c>
      <c r="AO27" s="18">
        <f>IF(AC27&gt;J27, (AC27-J27)*2700000, 0)</f>
        <v/>
      </c>
      <c r="AP27" s="18">
        <f>IF(J27&gt;AC27, (J27-AC27)*6000000, 0)</f>
        <v/>
      </c>
      <c r="AQ27" s="18">
        <f>AO27 + AP27 + Z27</f>
        <v/>
      </c>
    </row>
    <row r="28">
      <c r="A28" s="17" t="inlineStr">
        <is>
          <t>Ngày 26 (26/05)</t>
        </is>
      </c>
      <c r="B28" s="18" t="n">
        <v>30.2</v>
      </c>
      <c r="C28" s="18" t="n">
        <v>0</v>
      </c>
      <c r="D28" s="18" t="n">
        <v>0.42</v>
      </c>
      <c r="E28" s="18" t="n">
        <v>263.6</v>
      </c>
      <c r="F28" s="18" t="n">
        <v>0</v>
      </c>
      <c r="G28" s="18" t="n">
        <v>287.2</v>
      </c>
      <c r="H28" s="18">
        <f>G28*IF(F28=1, 0.85, 0.8)</f>
        <v/>
      </c>
      <c r="I28" s="17" t="inlineStr">
        <is>
          <t>2-4</t>
        </is>
      </c>
      <c r="J28" s="18">
        <f>INT(H28/(18*0.95))</f>
        <v/>
      </c>
      <c r="K28" s="18">
        <f>ROUND(MOD(H28, (18*0.95)), 2)</f>
        <v/>
      </c>
      <c r="L28" s="18">
        <f>IF(K28&gt;0, ROUNDUP(K28/(5*0.95), 0), 0)</f>
        <v/>
      </c>
      <c r="M28" s="18">
        <f>J28+L28</f>
        <v/>
      </c>
      <c r="N28" s="18">
        <f>ROUND(TREND(G$3:G$94, E$3:E$94, E28), 1)</f>
        <v/>
      </c>
      <c r="O28" s="18">
        <f>ROUND(TREND(G$3:G$94, B$3:E$94, B28:E28), 1)</f>
        <v/>
      </c>
      <c r="P28" s="18">
        <f>ROUND(TREND(G$3:G$94, B$3:F$94, B28:F28), 1)</f>
        <v/>
      </c>
      <c r="Q28" s="18">
        <f>P28*IF(F28=1, 0.85, 0.8)</f>
        <v/>
      </c>
      <c r="R28" s="18">
        <f>INT(Q28/(18*0.95))</f>
        <v/>
      </c>
      <c r="S28" s="18">
        <f>ROUND(MOD(Q28, (18*0.95)), 2)</f>
        <v/>
      </c>
      <c r="T28" s="18">
        <f>IF(S28&gt;0, ROUNDUP(S28/(5*0.95), 0), 0)</f>
        <v/>
      </c>
      <c r="U28" s="18">
        <f>R28+T28</f>
        <v/>
      </c>
      <c r="V28" s="18">
        <f>ROUND(R28*70%, 0)</f>
        <v/>
      </c>
      <c r="W28" s="18">
        <f>MIN(ROUNDUP(R28*0.2, 0), MAX(0, R28 - V28))</f>
        <v/>
      </c>
      <c r="X28" s="17">
        <f>IF(C28&gt;20, "Hủy slot (Mưa &gt; 20mm)", "Kích hoạt")</f>
        <v/>
      </c>
      <c r="Y28" s="18">
        <f>IF(C28&gt;20, 0, W28)</f>
        <v/>
      </c>
      <c r="Z28" s="18">
        <f>IF(C28&gt;20, W28*0.2*AF28, 0)</f>
        <v/>
      </c>
      <c r="AA28" s="18">
        <f>MAX(0, J28 - V28 - Y28)</f>
        <v/>
      </c>
      <c r="AB28" s="18">
        <f>L28</f>
        <v/>
      </c>
      <c r="AC28" s="18">
        <f>V28 + Y28 + AA28</f>
        <v/>
      </c>
      <c r="AD28" s="18">
        <f>AC28 + AB28</f>
        <v/>
      </c>
      <c r="AE28" s="18" t="n">
        <v>9</v>
      </c>
      <c r="AF28" s="18">
        <f>IF(OR(B28&gt;=34, F28=1), 11700000, 9000000)</f>
        <v/>
      </c>
      <c r="AG28" s="18">
        <f>IF(OR(B28&gt;=34, F28=1), 4550000, 3500000)</f>
        <v/>
      </c>
      <c r="AH28" s="18" t="n">
        <v>0.02</v>
      </c>
      <c r="AI28" s="18">
        <f>AVERAGE(J25:J27)</f>
        <v/>
      </c>
      <c r="AJ28" s="18">
        <f>ABS(J28 - AI28)</f>
        <v/>
      </c>
      <c r="AK28" s="18">
        <f>IF(AI28="", 0, IF(AI28&gt;J28, (AI28-J28)*2700000, 0))</f>
        <v/>
      </c>
      <c r="AL28" s="18">
        <f>IF(AI28="", 0, IF(J28&gt;AI28, (J28-AI28)*6000000, 0))</f>
        <v/>
      </c>
      <c r="AM28" s="18">
        <f>AK28 + AL28</f>
        <v/>
      </c>
      <c r="AN28" s="18">
        <f>ABS(AC28 - J28)</f>
        <v/>
      </c>
      <c r="AO28" s="18">
        <f>IF(AC28&gt;J28, (AC28-J28)*2700000, 0)</f>
        <v/>
      </c>
      <c r="AP28" s="18">
        <f>IF(J28&gt;AC28, (J28-AC28)*6000000, 0)</f>
        <v/>
      </c>
      <c r="AQ28" s="18">
        <f>AO28 + AP28 + Z28</f>
        <v/>
      </c>
    </row>
    <row r="29">
      <c r="A29" s="17" t="inlineStr">
        <is>
          <t>Ngày 27 (27/05)</t>
        </is>
      </c>
      <c r="B29" s="18" t="n">
        <v>29.4</v>
      </c>
      <c r="C29" s="18" t="n">
        <v>0</v>
      </c>
      <c r="D29" s="18" t="n">
        <v>0.43</v>
      </c>
      <c r="E29" s="18" t="n">
        <v>243.7</v>
      </c>
      <c r="F29" s="18" t="n">
        <v>0</v>
      </c>
      <c r="G29" s="18" t="n">
        <v>293.9</v>
      </c>
      <c r="H29" s="18">
        <f>G29*IF(F29=1, 0.85, 0.8)</f>
        <v/>
      </c>
      <c r="I29" s="17" t="inlineStr">
        <is>
          <t>2-4</t>
        </is>
      </c>
      <c r="J29" s="18">
        <f>INT(H29/(18*0.95))</f>
        <v/>
      </c>
      <c r="K29" s="18">
        <f>ROUND(MOD(H29, (18*0.95)), 2)</f>
        <v/>
      </c>
      <c r="L29" s="18">
        <f>IF(K29&gt;0, ROUNDUP(K29/(5*0.95), 0), 0)</f>
        <v/>
      </c>
      <c r="M29" s="18">
        <f>J29+L29</f>
        <v/>
      </c>
      <c r="N29" s="18">
        <f>ROUND(TREND(G$3:G$94, E$3:E$94, E29), 1)</f>
        <v/>
      </c>
      <c r="O29" s="18">
        <f>ROUND(TREND(G$3:G$94, B$3:E$94, B29:E29), 1)</f>
        <v/>
      </c>
      <c r="P29" s="18">
        <f>ROUND(TREND(G$3:G$94, B$3:F$94, B29:F29), 1)</f>
        <v/>
      </c>
      <c r="Q29" s="18">
        <f>P29*IF(F29=1, 0.85, 0.8)</f>
        <v/>
      </c>
      <c r="R29" s="18">
        <f>INT(Q29/(18*0.95))</f>
        <v/>
      </c>
      <c r="S29" s="18">
        <f>ROUND(MOD(Q29, (18*0.95)), 2)</f>
        <v/>
      </c>
      <c r="T29" s="18">
        <f>IF(S29&gt;0, ROUNDUP(S29/(5*0.95), 0), 0)</f>
        <v/>
      </c>
      <c r="U29" s="18">
        <f>R29+T29</f>
        <v/>
      </c>
      <c r="V29" s="18">
        <f>ROUND(R29*70%, 0)</f>
        <v/>
      </c>
      <c r="W29" s="18">
        <f>MIN(ROUNDUP(R29*0.2, 0), MAX(0, R29 - V29))</f>
        <v/>
      </c>
      <c r="X29" s="17">
        <f>IF(C29&gt;20, "Hủy slot (Mưa &gt; 20mm)", "Kích hoạt")</f>
        <v/>
      </c>
      <c r="Y29" s="18">
        <f>IF(C29&gt;20, 0, W29)</f>
        <v/>
      </c>
      <c r="Z29" s="18">
        <f>IF(C29&gt;20, W29*0.2*AF29, 0)</f>
        <v/>
      </c>
      <c r="AA29" s="18">
        <f>MAX(0, J29 - V29 - Y29)</f>
        <v/>
      </c>
      <c r="AB29" s="18">
        <f>L29</f>
        <v/>
      </c>
      <c r="AC29" s="18">
        <f>V29 + Y29 + AA29</f>
        <v/>
      </c>
      <c r="AD29" s="18">
        <f>AC29 + AB29</f>
        <v/>
      </c>
      <c r="AE29" s="18" t="n">
        <v>9</v>
      </c>
      <c r="AF29" s="18">
        <f>IF(OR(B29&gt;=34, F29=1), 11700000, 9000000)</f>
        <v/>
      </c>
      <c r="AG29" s="18">
        <f>IF(OR(B29&gt;=34, F29=1), 4550000, 3500000)</f>
        <v/>
      </c>
      <c r="AH29" s="18" t="n">
        <v>0.02</v>
      </c>
      <c r="AI29" s="18">
        <f>AVERAGE(J26:J28)</f>
        <v/>
      </c>
      <c r="AJ29" s="18">
        <f>ABS(J29 - AI29)</f>
        <v/>
      </c>
      <c r="AK29" s="18">
        <f>IF(AI29="", 0, IF(AI29&gt;J29, (AI29-J29)*2700000, 0))</f>
        <v/>
      </c>
      <c r="AL29" s="18">
        <f>IF(AI29="", 0, IF(J29&gt;AI29, (J29-AI29)*6000000, 0))</f>
        <v/>
      </c>
      <c r="AM29" s="18">
        <f>AK29 + AL29</f>
        <v/>
      </c>
      <c r="AN29" s="18">
        <f>ABS(AC29 - J29)</f>
        <v/>
      </c>
      <c r="AO29" s="18">
        <f>IF(AC29&gt;J29, (AC29-J29)*2700000, 0)</f>
        <v/>
      </c>
      <c r="AP29" s="18">
        <f>IF(J29&gt;AC29, (J29-AC29)*6000000, 0)</f>
        <v/>
      </c>
      <c r="AQ29" s="18">
        <f>AO29 + AP29 + Z29</f>
        <v/>
      </c>
    </row>
    <row r="30">
      <c r="A30" s="17" t="inlineStr">
        <is>
          <t>Ngày 28 (28/05)</t>
        </is>
      </c>
      <c r="B30" s="18" t="n">
        <v>31</v>
      </c>
      <c r="C30" s="18" t="n">
        <v>15</v>
      </c>
      <c r="D30" s="18" t="n">
        <v>0.44</v>
      </c>
      <c r="E30" s="18" t="n">
        <v>283.6</v>
      </c>
      <c r="F30" s="18" t="n">
        <v>1</v>
      </c>
      <c r="G30" s="18" t="n">
        <v>317.5</v>
      </c>
      <c r="H30" s="18">
        <f>G30*IF(F30=1, 0.85, 0.8)</f>
        <v/>
      </c>
      <c r="I30" s="17" t="inlineStr">
        <is>
          <t>2-4</t>
        </is>
      </c>
      <c r="J30" s="18">
        <f>INT(H30/(18*0.95))</f>
        <v/>
      </c>
      <c r="K30" s="18">
        <f>ROUND(MOD(H30, (18*0.95)), 2)</f>
        <v/>
      </c>
      <c r="L30" s="18">
        <f>IF(K30&gt;0, ROUNDUP(K30/(5*0.95), 0), 0)</f>
        <v/>
      </c>
      <c r="M30" s="18">
        <f>J30+L30</f>
        <v/>
      </c>
      <c r="N30" s="18">
        <f>ROUND(TREND(G$3:G$94, E$3:E$94, E30), 1)</f>
        <v/>
      </c>
      <c r="O30" s="18">
        <f>ROUND(TREND(G$3:G$94, B$3:E$94, B30:E30), 1)</f>
        <v/>
      </c>
      <c r="P30" s="18">
        <f>ROUND(TREND(G$3:G$94, B$3:F$94, B30:F30), 1)</f>
        <v/>
      </c>
      <c r="Q30" s="18">
        <f>P30*IF(F30=1, 0.85, 0.8)</f>
        <v/>
      </c>
      <c r="R30" s="18">
        <f>INT(Q30/(18*0.95))</f>
        <v/>
      </c>
      <c r="S30" s="18">
        <f>ROUND(MOD(Q30, (18*0.95)), 2)</f>
        <v/>
      </c>
      <c r="T30" s="18">
        <f>IF(S30&gt;0, ROUNDUP(S30/(5*0.95), 0), 0)</f>
        <v/>
      </c>
      <c r="U30" s="18">
        <f>R30+T30</f>
        <v/>
      </c>
      <c r="V30" s="18">
        <f>ROUND(R30*70%, 0)</f>
        <v/>
      </c>
      <c r="W30" s="18">
        <f>MIN(ROUNDUP(R30*0.2, 0), MAX(0, R30 - V30))</f>
        <v/>
      </c>
      <c r="X30" s="17">
        <f>IF(C30&gt;20, "Hủy slot (Mưa &gt; 20mm)", "Kích hoạt")</f>
        <v/>
      </c>
      <c r="Y30" s="18">
        <f>IF(C30&gt;20, 0, W30)</f>
        <v/>
      </c>
      <c r="Z30" s="18">
        <f>IF(C30&gt;20, W30*0.2*AF30, 0)</f>
        <v/>
      </c>
      <c r="AA30" s="18">
        <f>MAX(0, J30 - V30 - Y30)</f>
        <v/>
      </c>
      <c r="AB30" s="18">
        <f>L30</f>
        <v/>
      </c>
      <c r="AC30" s="18">
        <f>V30 + Y30 + AA30</f>
        <v/>
      </c>
      <c r="AD30" s="18">
        <f>AC30 + AB30</f>
        <v/>
      </c>
      <c r="AE30" s="18" t="n">
        <v>9</v>
      </c>
      <c r="AF30" s="18">
        <f>IF(OR(B30&gt;=34, F30=1), 11700000, 9000000)</f>
        <v/>
      </c>
      <c r="AG30" s="18">
        <f>IF(OR(B30&gt;=34, F30=1), 4550000, 3500000)</f>
        <v/>
      </c>
      <c r="AH30" s="18" t="n">
        <v>0.02</v>
      </c>
      <c r="AI30" s="18">
        <f>AVERAGE(J27:J29)</f>
        <v/>
      </c>
      <c r="AJ30" s="18">
        <f>ABS(J30 - AI30)</f>
        <v/>
      </c>
      <c r="AK30" s="18">
        <f>IF(AI30="", 0, IF(AI30&gt;J30, (AI30-J30)*2700000, 0))</f>
        <v/>
      </c>
      <c r="AL30" s="18">
        <f>IF(AI30="", 0, IF(J30&gt;AI30, (J30-AI30)*6000000, 0))</f>
        <v/>
      </c>
      <c r="AM30" s="18">
        <f>AK30 + AL30</f>
        <v/>
      </c>
      <c r="AN30" s="18">
        <f>ABS(AC30 - J30)</f>
        <v/>
      </c>
      <c r="AO30" s="18">
        <f>IF(AC30&gt;J30, (AC30-J30)*2700000, 0)</f>
        <v/>
      </c>
      <c r="AP30" s="18">
        <f>IF(J30&gt;AC30, (J30-AC30)*6000000, 0)</f>
        <v/>
      </c>
      <c r="AQ30" s="18">
        <f>AO30 + AP30 + Z30</f>
        <v/>
      </c>
    </row>
    <row r="31">
      <c r="A31" s="17" t="inlineStr">
        <is>
          <t>Ngày 29 (29/05)</t>
        </is>
      </c>
      <c r="B31" s="18" t="n">
        <v>30.2</v>
      </c>
      <c r="C31" s="18" t="n">
        <v>0</v>
      </c>
      <c r="D31" s="18" t="n">
        <v>0.46</v>
      </c>
      <c r="E31" s="18" t="n">
        <v>356.2</v>
      </c>
      <c r="F31" s="18" t="n">
        <v>1</v>
      </c>
      <c r="G31" s="18" t="n">
        <v>340.5</v>
      </c>
      <c r="H31" s="18">
        <f>G31*IF(F31=1, 0.85, 0.8)</f>
        <v/>
      </c>
      <c r="I31" s="17" t="inlineStr">
        <is>
          <t>2-4</t>
        </is>
      </c>
      <c r="J31" s="18">
        <f>INT(H31/(18*0.95))</f>
        <v/>
      </c>
      <c r="K31" s="18">
        <f>ROUND(MOD(H31, (18*0.95)), 2)</f>
        <v/>
      </c>
      <c r="L31" s="18">
        <f>IF(K31&gt;0, ROUNDUP(K31/(5*0.95), 0), 0)</f>
        <v/>
      </c>
      <c r="M31" s="18">
        <f>J31+L31</f>
        <v/>
      </c>
      <c r="N31" s="18">
        <f>ROUND(TREND(G$3:G$94, E$3:E$94, E31), 1)</f>
        <v/>
      </c>
      <c r="O31" s="18">
        <f>ROUND(TREND(G$3:G$94, B$3:E$94, B31:E31), 1)</f>
        <v/>
      </c>
      <c r="P31" s="18">
        <f>ROUND(TREND(G$3:G$94, B$3:F$94, B31:F31), 1)</f>
        <v/>
      </c>
      <c r="Q31" s="18">
        <f>P31*IF(F31=1, 0.85, 0.8)</f>
        <v/>
      </c>
      <c r="R31" s="18">
        <f>INT(Q31/(18*0.95))</f>
        <v/>
      </c>
      <c r="S31" s="18">
        <f>ROUND(MOD(Q31, (18*0.95)), 2)</f>
        <v/>
      </c>
      <c r="T31" s="18">
        <f>IF(S31&gt;0, ROUNDUP(S31/(5*0.95), 0), 0)</f>
        <v/>
      </c>
      <c r="U31" s="18">
        <f>R31+T31</f>
        <v/>
      </c>
      <c r="V31" s="18">
        <f>ROUND(R31*70%, 0)</f>
        <v/>
      </c>
      <c r="W31" s="18">
        <f>MIN(ROUNDUP(R31*0.2, 0), MAX(0, R31 - V31))</f>
        <v/>
      </c>
      <c r="X31" s="17">
        <f>IF(C31&gt;20, "Hủy slot (Mưa &gt; 20mm)", "Kích hoạt")</f>
        <v/>
      </c>
      <c r="Y31" s="18">
        <f>IF(C31&gt;20, 0, W31)</f>
        <v/>
      </c>
      <c r="Z31" s="18">
        <f>IF(C31&gt;20, W31*0.2*AF31, 0)</f>
        <v/>
      </c>
      <c r="AA31" s="18">
        <f>MAX(0, J31 - V31 - Y31)</f>
        <v/>
      </c>
      <c r="AB31" s="18">
        <f>L31</f>
        <v/>
      </c>
      <c r="AC31" s="18">
        <f>V31 + Y31 + AA31</f>
        <v/>
      </c>
      <c r="AD31" s="18">
        <f>AC31 + AB31</f>
        <v/>
      </c>
      <c r="AE31" s="18" t="n">
        <v>9</v>
      </c>
      <c r="AF31" s="18">
        <f>IF(OR(B31&gt;=34, F31=1), 11700000, 9000000)</f>
        <v/>
      </c>
      <c r="AG31" s="18">
        <f>IF(OR(B31&gt;=34, F31=1), 4550000, 3500000)</f>
        <v/>
      </c>
      <c r="AH31" s="18" t="n">
        <v>0.02</v>
      </c>
      <c r="AI31" s="18">
        <f>AVERAGE(J28:J30)</f>
        <v/>
      </c>
      <c r="AJ31" s="18">
        <f>ABS(J31 - AI31)</f>
        <v/>
      </c>
      <c r="AK31" s="18">
        <f>IF(AI31="", 0, IF(AI31&gt;J31, (AI31-J31)*2700000, 0))</f>
        <v/>
      </c>
      <c r="AL31" s="18">
        <f>IF(AI31="", 0, IF(J31&gt;AI31, (J31-AI31)*6000000, 0))</f>
        <v/>
      </c>
      <c r="AM31" s="18">
        <f>AK31 + AL31</f>
        <v/>
      </c>
      <c r="AN31" s="18">
        <f>ABS(AC31 - J31)</f>
        <v/>
      </c>
      <c r="AO31" s="18">
        <f>IF(AC31&gt;J31, (AC31-J31)*2700000, 0)</f>
        <v/>
      </c>
      <c r="AP31" s="18">
        <f>IF(J31&gt;AC31, (J31-AC31)*6000000, 0)</f>
        <v/>
      </c>
      <c r="AQ31" s="18">
        <f>AO31 + AP31 + Z31</f>
        <v/>
      </c>
    </row>
    <row r="32">
      <c r="A32" s="17" t="inlineStr">
        <is>
          <t>Ngày 30 (30/05)</t>
        </is>
      </c>
      <c r="B32" s="18" t="n">
        <v>30.9</v>
      </c>
      <c r="C32" s="18" t="n">
        <v>0</v>
      </c>
      <c r="D32" s="18" t="n">
        <v>0.47</v>
      </c>
      <c r="E32" s="18" t="n">
        <v>334</v>
      </c>
      <c r="F32" s="18" t="n">
        <v>0</v>
      </c>
      <c r="G32" s="18" t="n">
        <v>329.3</v>
      </c>
      <c r="H32" s="18">
        <f>G32*IF(F32=1, 0.85, 0.8)</f>
        <v/>
      </c>
      <c r="I32" s="17" t="inlineStr">
        <is>
          <t>2-4</t>
        </is>
      </c>
      <c r="J32" s="18">
        <f>INT(H32/(18*0.95))</f>
        <v/>
      </c>
      <c r="K32" s="18">
        <f>ROUND(MOD(H32, (18*0.95)), 2)</f>
        <v/>
      </c>
      <c r="L32" s="18">
        <f>IF(K32&gt;0, ROUNDUP(K32/(5*0.95), 0), 0)</f>
        <v/>
      </c>
      <c r="M32" s="18">
        <f>J32+L32</f>
        <v/>
      </c>
      <c r="N32" s="18">
        <f>ROUND(TREND(G$3:G$94, E$3:E$94, E32), 1)</f>
        <v/>
      </c>
      <c r="O32" s="18">
        <f>ROUND(TREND(G$3:G$94, B$3:E$94, B32:E32), 1)</f>
        <v/>
      </c>
      <c r="P32" s="18">
        <f>ROUND(TREND(G$3:G$94, B$3:F$94, B32:F32), 1)</f>
        <v/>
      </c>
      <c r="Q32" s="18">
        <f>P32*IF(F32=1, 0.85, 0.8)</f>
        <v/>
      </c>
      <c r="R32" s="18">
        <f>INT(Q32/(18*0.95))</f>
        <v/>
      </c>
      <c r="S32" s="18">
        <f>ROUND(MOD(Q32, (18*0.95)), 2)</f>
        <v/>
      </c>
      <c r="T32" s="18">
        <f>IF(S32&gt;0, ROUNDUP(S32/(5*0.95), 0), 0)</f>
        <v/>
      </c>
      <c r="U32" s="18">
        <f>R32+T32</f>
        <v/>
      </c>
      <c r="V32" s="18">
        <f>ROUND(R32*70%, 0)</f>
        <v/>
      </c>
      <c r="W32" s="18">
        <f>MIN(ROUNDUP(R32*0.2, 0), MAX(0, R32 - V32))</f>
        <v/>
      </c>
      <c r="X32" s="17">
        <f>IF(C32&gt;20, "Hủy slot (Mưa &gt; 20mm)", "Kích hoạt")</f>
        <v/>
      </c>
      <c r="Y32" s="18">
        <f>IF(C32&gt;20, 0, W32)</f>
        <v/>
      </c>
      <c r="Z32" s="18">
        <f>IF(C32&gt;20, W32*0.2*AF32, 0)</f>
        <v/>
      </c>
      <c r="AA32" s="18">
        <f>MAX(0, J32 - V32 - Y32)</f>
        <v/>
      </c>
      <c r="AB32" s="18">
        <f>L32</f>
        <v/>
      </c>
      <c r="AC32" s="18">
        <f>V32 + Y32 + AA32</f>
        <v/>
      </c>
      <c r="AD32" s="18">
        <f>AC32 + AB32</f>
        <v/>
      </c>
      <c r="AE32" s="18" t="n">
        <v>9</v>
      </c>
      <c r="AF32" s="18">
        <f>IF(OR(B32&gt;=34, F32=1), 11700000, 9000000)</f>
        <v/>
      </c>
      <c r="AG32" s="18">
        <f>IF(OR(B32&gt;=34, F32=1), 4550000, 3500000)</f>
        <v/>
      </c>
      <c r="AH32" s="18" t="n">
        <v>0.02</v>
      </c>
      <c r="AI32" s="18">
        <f>AVERAGE(J29:J31)</f>
        <v/>
      </c>
      <c r="AJ32" s="18">
        <f>ABS(J32 - AI32)</f>
        <v/>
      </c>
      <c r="AK32" s="18">
        <f>IF(AI32="", 0, IF(AI32&gt;J32, (AI32-J32)*2700000, 0))</f>
        <v/>
      </c>
      <c r="AL32" s="18">
        <f>IF(AI32="", 0, IF(J32&gt;AI32, (J32-AI32)*6000000, 0))</f>
        <v/>
      </c>
      <c r="AM32" s="18">
        <f>AK32 + AL32</f>
        <v/>
      </c>
      <c r="AN32" s="18">
        <f>ABS(AC32 - J32)</f>
        <v/>
      </c>
      <c r="AO32" s="18">
        <f>IF(AC32&gt;J32, (AC32-J32)*2700000, 0)</f>
        <v/>
      </c>
      <c r="AP32" s="18">
        <f>IF(J32&gt;AC32, (J32-AC32)*6000000, 0)</f>
        <v/>
      </c>
      <c r="AQ32" s="18">
        <f>AO32 + AP32 + Z32</f>
        <v/>
      </c>
    </row>
    <row r="33">
      <c r="A33" s="17" t="inlineStr">
        <is>
          <t>Ngày 31 (31/05)</t>
        </is>
      </c>
      <c r="B33" s="18" t="n">
        <v>32.1</v>
      </c>
      <c r="C33" s="18" t="n">
        <v>0</v>
      </c>
      <c r="D33" s="18" t="n">
        <v>0.48</v>
      </c>
      <c r="E33" s="18" t="n">
        <v>288.5</v>
      </c>
      <c r="F33" s="18" t="n">
        <v>0</v>
      </c>
      <c r="G33" s="18" t="n">
        <v>353.7</v>
      </c>
      <c r="H33" s="18">
        <f>G33*IF(F33=1, 0.85, 0.8)</f>
        <v/>
      </c>
      <c r="I33" s="17" t="inlineStr">
        <is>
          <t>2-4</t>
        </is>
      </c>
      <c r="J33" s="18">
        <f>INT(H33/(18*0.95))</f>
        <v/>
      </c>
      <c r="K33" s="18">
        <f>ROUND(MOD(H33, (18*0.95)), 2)</f>
        <v/>
      </c>
      <c r="L33" s="18">
        <f>IF(K33&gt;0, ROUNDUP(K33/(5*0.95), 0), 0)</f>
        <v/>
      </c>
      <c r="M33" s="18">
        <f>J33+L33</f>
        <v/>
      </c>
      <c r="N33" s="18">
        <f>ROUND(TREND(G$3:G$94, E$3:E$94, E33), 1)</f>
        <v/>
      </c>
      <c r="O33" s="18">
        <f>ROUND(TREND(G$3:G$94, B$3:E$94, B33:E33), 1)</f>
        <v/>
      </c>
      <c r="P33" s="18">
        <f>ROUND(TREND(G$3:G$94, B$3:F$94, B33:F33), 1)</f>
        <v/>
      </c>
      <c r="Q33" s="18">
        <f>P33*IF(F33=1, 0.85, 0.8)</f>
        <v/>
      </c>
      <c r="R33" s="18">
        <f>INT(Q33/(18*0.95))</f>
        <v/>
      </c>
      <c r="S33" s="18">
        <f>ROUND(MOD(Q33, (18*0.95)), 2)</f>
        <v/>
      </c>
      <c r="T33" s="18">
        <f>IF(S33&gt;0, ROUNDUP(S33/(5*0.95), 0), 0)</f>
        <v/>
      </c>
      <c r="U33" s="18">
        <f>R33+T33</f>
        <v/>
      </c>
      <c r="V33" s="18">
        <f>ROUND(R33*70%, 0)</f>
        <v/>
      </c>
      <c r="W33" s="18">
        <f>MIN(ROUNDUP(R33*0.2, 0), MAX(0, R33 - V33))</f>
        <v/>
      </c>
      <c r="X33" s="17">
        <f>IF(C33&gt;20, "Hủy slot (Mưa &gt; 20mm)", "Kích hoạt")</f>
        <v/>
      </c>
      <c r="Y33" s="18">
        <f>IF(C33&gt;20, 0, W33)</f>
        <v/>
      </c>
      <c r="Z33" s="18">
        <f>IF(C33&gt;20, W33*0.2*AF33, 0)</f>
        <v/>
      </c>
      <c r="AA33" s="18">
        <f>MAX(0, J33 - V33 - Y33)</f>
        <v/>
      </c>
      <c r="AB33" s="18">
        <f>L33</f>
        <v/>
      </c>
      <c r="AC33" s="18">
        <f>V33 + Y33 + AA33</f>
        <v/>
      </c>
      <c r="AD33" s="18">
        <f>AC33 + AB33</f>
        <v/>
      </c>
      <c r="AE33" s="18" t="n">
        <v>9</v>
      </c>
      <c r="AF33" s="18">
        <f>IF(OR(B33&gt;=34, F33=1), 11700000, 9000000)</f>
        <v/>
      </c>
      <c r="AG33" s="18">
        <f>IF(OR(B33&gt;=34, F33=1), 4550000, 3500000)</f>
        <v/>
      </c>
      <c r="AH33" s="18" t="n">
        <v>0.02</v>
      </c>
      <c r="AI33" s="18">
        <f>AVERAGE(J30:J32)</f>
        <v/>
      </c>
      <c r="AJ33" s="18">
        <f>ABS(J33 - AI33)</f>
        <v/>
      </c>
      <c r="AK33" s="18">
        <f>IF(AI33="", 0, IF(AI33&gt;J33, (AI33-J33)*2700000, 0))</f>
        <v/>
      </c>
      <c r="AL33" s="18">
        <f>IF(AI33="", 0, IF(J33&gt;AI33, (J33-AI33)*6000000, 0))</f>
        <v/>
      </c>
      <c r="AM33" s="18">
        <f>AK33 + AL33</f>
        <v/>
      </c>
      <c r="AN33" s="18">
        <f>ABS(AC33 - J33)</f>
        <v/>
      </c>
      <c r="AO33" s="18">
        <f>IF(AC33&gt;J33, (AC33-J33)*2700000, 0)</f>
        <v/>
      </c>
      <c r="AP33" s="18">
        <f>IF(J33&gt;AC33, (J33-AC33)*6000000, 0)</f>
        <v/>
      </c>
      <c r="AQ33" s="18">
        <f>AO33 + AP33 + Z33</f>
        <v/>
      </c>
    </row>
    <row r="34">
      <c r="A34" s="17" t="inlineStr">
        <is>
          <t>Ngày 32 (01/06)</t>
        </is>
      </c>
      <c r="B34" s="18" t="n">
        <v>36</v>
      </c>
      <c r="C34" s="18" t="n">
        <v>0</v>
      </c>
      <c r="D34" s="18" t="n">
        <v>0.52</v>
      </c>
      <c r="E34" s="18" t="n">
        <v>599.4</v>
      </c>
      <c r="F34" s="18" t="n">
        <v>0</v>
      </c>
      <c r="G34" s="18" t="n">
        <v>650.7</v>
      </c>
      <c r="H34" s="18">
        <f>G34*IF(F34=1, 0.85, 0.8)</f>
        <v/>
      </c>
      <c r="I34" s="17" t="inlineStr">
        <is>
          <t>2-4</t>
        </is>
      </c>
      <c r="J34" s="18">
        <f>INT(H34/(18*0.95))</f>
        <v/>
      </c>
      <c r="K34" s="18">
        <f>ROUND(MOD(H34, (18*0.95)), 2)</f>
        <v/>
      </c>
      <c r="L34" s="18">
        <f>IF(K34&gt;0, ROUNDUP(K34/(5*0.95), 0), 0)</f>
        <v/>
      </c>
      <c r="M34" s="18">
        <f>J34+L34</f>
        <v/>
      </c>
      <c r="N34" s="18">
        <f>ROUND(TREND(G$3:G$94, E$3:E$94, E34), 1)</f>
        <v/>
      </c>
      <c r="O34" s="18">
        <f>ROUND(TREND(G$3:G$94, B$3:E$94, B34:E34), 1)</f>
        <v/>
      </c>
      <c r="P34" s="18">
        <f>ROUND(TREND(G$3:G$94, B$3:F$94, B34:F34), 1)</f>
        <v/>
      </c>
      <c r="Q34" s="18">
        <f>P34*IF(F34=1, 0.85, 0.8)</f>
        <v/>
      </c>
      <c r="R34" s="18">
        <f>INT(Q34/(18*0.95))</f>
        <v/>
      </c>
      <c r="S34" s="18">
        <f>ROUND(MOD(Q34, (18*0.95)), 2)</f>
        <v/>
      </c>
      <c r="T34" s="18">
        <f>IF(S34&gt;0, ROUNDUP(S34/(5*0.95), 0), 0)</f>
        <v/>
      </c>
      <c r="U34" s="18">
        <f>R34+T34</f>
        <v/>
      </c>
      <c r="V34" s="18">
        <f>ROUND(R34*70%, 0)</f>
        <v/>
      </c>
      <c r="W34" s="18">
        <f>MIN(ROUNDUP(R34*0.2, 0), MAX(0, R34 - V34))</f>
        <v/>
      </c>
      <c r="X34" s="17">
        <f>IF(C34&gt;20, "Hủy slot (Mưa &gt; 20mm)", "Kích hoạt")</f>
        <v/>
      </c>
      <c r="Y34" s="18">
        <f>IF(C34&gt;20, 0, W34)</f>
        <v/>
      </c>
      <c r="Z34" s="18">
        <f>IF(C34&gt;20, W34*0.2*AF34, 0)</f>
        <v/>
      </c>
      <c r="AA34" s="18">
        <f>MAX(0, J34 - V34 - Y34)</f>
        <v/>
      </c>
      <c r="AB34" s="18">
        <f>L34</f>
        <v/>
      </c>
      <c r="AC34" s="18">
        <f>V34 + Y34 + AA34</f>
        <v/>
      </c>
      <c r="AD34" s="18">
        <f>AC34 + AB34</f>
        <v/>
      </c>
      <c r="AE34" s="18" t="n">
        <v>9</v>
      </c>
      <c r="AF34" s="18">
        <f>IF(OR(B34&gt;=34, F34=1), 11700000, 9000000)</f>
        <v/>
      </c>
      <c r="AG34" s="18">
        <f>IF(OR(B34&gt;=34, F34=1), 4550000, 3500000)</f>
        <v/>
      </c>
      <c r="AH34" s="18" t="n">
        <v>0.02</v>
      </c>
      <c r="AI34" s="18">
        <f>AVERAGE(J31:J33)</f>
        <v/>
      </c>
      <c r="AJ34" s="18">
        <f>ABS(J34 - AI34)</f>
        <v/>
      </c>
      <c r="AK34" s="18">
        <f>IF(AI34="", 0, IF(AI34&gt;J34, (AI34-J34)*2700000, 0))</f>
        <v/>
      </c>
      <c r="AL34" s="18">
        <f>IF(AI34="", 0, IF(J34&gt;AI34, (J34-AI34)*6000000, 0))</f>
        <v/>
      </c>
      <c r="AM34" s="18">
        <f>AK34 + AL34</f>
        <v/>
      </c>
      <c r="AN34" s="18">
        <f>ABS(AC34 - J34)</f>
        <v/>
      </c>
      <c r="AO34" s="18">
        <f>IF(AC34&gt;J34, (AC34-J34)*2700000, 0)</f>
        <v/>
      </c>
      <c r="AP34" s="18">
        <f>IF(J34&gt;AC34, (J34-AC34)*6000000, 0)</f>
        <v/>
      </c>
      <c r="AQ34" s="18">
        <f>AO34 + AP34 + Z34</f>
        <v/>
      </c>
    </row>
    <row r="35">
      <c r="A35" s="17" t="inlineStr">
        <is>
          <t>Ngày 33 (02/06)</t>
        </is>
      </c>
      <c r="B35" s="18" t="n">
        <v>33.4</v>
      </c>
      <c r="C35" s="18" t="n">
        <v>0</v>
      </c>
      <c r="D35" s="18" t="n">
        <v>0.53</v>
      </c>
      <c r="E35" s="18" t="n">
        <v>600.3</v>
      </c>
      <c r="F35" s="18" t="n">
        <v>0</v>
      </c>
      <c r="G35" s="18" t="n">
        <v>530.1</v>
      </c>
      <c r="H35" s="18">
        <f>G35*IF(F35=1, 0.85, 0.8)</f>
        <v/>
      </c>
      <c r="I35" s="17" t="inlineStr">
        <is>
          <t>2-4</t>
        </is>
      </c>
      <c r="J35" s="18">
        <f>INT(H35/(18*0.95))</f>
        <v/>
      </c>
      <c r="K35" s="18">
        <f>ROUND(MOD(H35, (18*0.95)), 2)</f>
        <v/>
      </c>
      <c r="L35" s="18">
        <f>IF(K35&gt;0, ROUNDUP(K35/(5*0.95), 0), 0)</f>
        <v/>
      </c>
      <c r="M35" s="18">
        <f>J35+L35</f>
        <v/>
      </c>
      <c r="N35" s="18">
        <f>ROUND(TREND(G$3:G$94, E$3:E$94, E35), 1)</f>
        <v/>
      </c>
      <c r="O35" s="18">
        <f>ROUND(TREND(G$3:G$94, B$3:E$94, B35:E35), 1)</f>
        <v/>
      </c>
      <c r="P35" s="18">
        <f>ROUND(TREND(G$3:G$94, B$3:F$94, B35:F35), 1)</f>
        <v/>
      </c>
      <c r="Q35" s="18">
        <f>P35*IF(F35=1, 0.85, 0.8)</f>
        <v/>
      </c>
      <c r="R35" s="18">
        <f>INT(Q35/(18*0.95))</f>
        <v/>
      </c>
      <c r="S35" s="18">
        <f>ROUND(MOD(Q35, (18*0.95)), 2)</f>
        <v/>
      </c>
      <c r="T35" s="18">
        <f>IF(S35&gt;0, ROUNDUP(S35/(5*0.95), 0), 0)</f>
        <v/>
      </c>
      <c r="U35" s="18">
        <f>R35+T35</f>
        <v/>
      </c>
      <c r="V35" s="18">
        <f>ROUND(R35*70%, 0)</f>
        <v/>
      </c>
      <c r="W35" s="18">
        <f>MIN(ROUNDUP(R35*0.2, 0), MAX(0, R35 - V35))</f>
        <v/>
      </c>
      <c r="X35" s="17">
        <f>IF(C35&gt;20, "Hủy slot (Mưa &gt; 20mm)", "Kích hoạt")</f>
        <v/>
      </c>
      <c r="Y35" s="18">
        <f>IF(C35&gt;20, 0, W35)</f>
        <v/>
      </c>
      <c r="Z35" s="18">
        <f>IF(C35&gt;20, W35*0.2*AF35, 0)</f>
        <v/>
      </c>
      <c r="AA35" s="18">
        <f>MAX(0, J35 - V35 - Y35)</f>
        <v/>
      </c>
      <c r="AB35" s="18">
        <f>L35</f>
        <v/>
      </c>
      <c r="AC35" s="18">
        <f>V35 + Y35 + AA35</f>
        <v/>
      </c>
      <c r="AD35" s="18">
        <f>AC35 + AB35</f>
        <v/>
      </c>
      <c r="AE35" s="18" t="n">
        <v>9</v>
      </c>
      <c r="AF35" s="18">
        <f>IF(OR(B35&gt;=34, F35=1), 11700000, 9000000)</f>
        <v/>
      </c>
      <c r="AG35" s="18">
        <f>IF(OR(B35&gt;=34, F35=1), 4550000, 3500000)</f>
        <v/>
      </c>
      <c r="AH35" s="18" t="n">
        <v>0.02</v>
      </c>
      <c r="AI35" s="18">
        <f>AVERAGE(J32:J34)</f>
        <v/>
      </c>
      <c r="AJ35" s="18">
        <f>ABS(J35 - AI35)</f>
        <v/>
      </c>
      <c r="AK35" s="18">
        <f>IF(AI35="", 0, IF(AI35&gt;J35, (AI35-J35)*2700000, 0))</f>
        <v/>
      </c>
      <c r="AL35" s="18">
        <f>IF(AI35="", 0, IF(J35&gt;AI35, (J35-AI35)*6000000, 0))</f>
        <v/>
      </c>
      <c r="AM35" s="18">
        <f>AK35 + AL35</f>
        <v/>
      </c>
      <c r="AN35" s="18">
        <f>ABS(AC35 - J35)</f>
        <v/>
      </c>
      <c r="AO35" s="18">
        <f>IF(AC35&gt;J35, (AC35-J35)*2700000, 0)</f>
        <v/>
      </c>
      <c r="AP35" s="18">
        <f>IF(J35&gt;AC35, (J35-AC35)*6000000, 0)</f>
        <v/>
      </c>
      <c r="AQ35" s="18">
        <f>AO35 + AP35 + Z35</f>
        <v/>
      </c>
    </row>
    <row r="36">
      <c r="A36" s="17" t="inlineStr">
        <is>
          <t>Ngày 34 (03/06)</t>
        </is>
      </c>
      <c r="B36" s="18" t="n">
        <v>34.9</v>
      </c>
      <c r="C36" s="18" t="n">
        <v>0</v>
      </c>
      <c r="D36" s="18" t="n">
        <v>0.55</v>
      </c>
      <c r="E36" s="18" t="n">
        <v>542.2</v>
      </c>
      <c r="F36" s="18" t="n">
        <v>0</v>
      </c>
      <c r="G36" s="18" t="n">
        <v>599.9</v>
      </c>
      <c r="H36" s="18">
        <f>G36*IF(F36=1, 0.85, 0.8)</f>
        <v/>
      </c>
      <c r="I36" s="17" t="inlineStr">
        <is>
          <t>2-4</t>
        </is>
      </c>
      <c r="J36" s="18">
        <f>INT(H36/(18*0.95))</f>
        <v/>
      </c>
      <c r="K36" s="18">
        <f>ROUND(MOD(H36, (18*0.95)), 2)</f>
        <v/>
      </c>
      <c r="L36" s="18">
        <f>IF(K36&gt;0, ROUNDUP(K36/(5*0.95), 0), 0)</f>
        <v/>
      </c>
      <c r="M36" s="18">
        <f>J36+L36</f>
        <v/>
      </c>
      <c r="N36" s="18">
        <f>ROUND(TREND(G$3:G$94, E$3:E$94, E36), 1)</f>
        <v/>
      </c>
      <c r="O36" s="18">
        <f>ROUND(TREND(G$3:G$94, B$3:E$94, B36:E36), 1)</f>
        <v/>
      </c>
      <c r="P36" s="18">
        <f>ROUND(TREND(G$3:G$94, B$3:F$94, B36:F36), 1)</f>
        <v/>
      </c>
      <c r="Q36" s="18">
        <f>P36*IF(F36=1, 0.85, 0.8)</f>
        <v/>
      </c>
      <c r="R36" s="18">
        <f>INT(Q36/(18*0.95))</f>
        <v/>
      </c>
      <c r="S36" s="18">
        <f>ROUND(MOD(Q36, (18*0.95)), 2)</f>
        <v/>
      </c>
      <c r="T36" s="18">
        <f>IF(S36&gt;0, ROUNDUP(S36/(5*0.95), 0), 0)</f>
        <v/>
      </c>
      <c r="U36" s="18">
        <f>R36+T36</f>
        <v/>
      </c>
      <c r="V36" s="18">
        <f>ROUND(R36*70%, 0)</f>
        <v/>
      </c>
      <c r="W36" s="18">
        <f>MIN(ROUNDUP(R36*0.2, 0), MAX(0, R36 - V36))</f>
        <v/>
      </c>
      <c r="X36" s="17">
        <f>IF(C36&gt;20, "Hủy slot (Mưa &gt; 20mm)", "Kích hoạt")</f>
        <v/>
      </c>
      <c r="Y36" s="18">
        <f>IF(C36&gt;20, 0, W36)</f>
        <v/>
      </c>
      <c r="Z36" s="18">
        <f>IF(C36&gt;20, W36*0.2*AF36, 0)</f>
        <v/>
      </c>
      <c r="AA36" s="18">
        <f>MAX(0, J36 - V36 - Y36)</f>
        <v/>
      </c>
      <c r="AB36" s="18">
        <f>L36</f>
        <v/>
      </c>
      <c r="AC36" s="18">
        <f>V36 + Y36 + AA36</f>
        <v/>
      </c>
      <c r="AD36" s="18">
        <f>AC36 + AB36</f>
        <v/>
      </c>
      <c r="AE36" s="18" t="n">
        <v>9</v>
      </c>
      <c r="AF36" s="18">
        <f>IF(OR(B36&gt;=34, F36=1), 11700000, 9000000)</f>
        <v/>
      </c>
      <c r="AG36" s="18">
        <f>IF(OR(B36&gt;=34, F36=1), 4550000, 3500000)</f>
        <v/>
      </c>
      <c r="AH36" s="18" t="n">
        <v>0.02</v>
      </c>
      <c r="AI36" s="18">
        <f>AVERAGE(J33:J35)</f>
        <v/>
      </c>
      <c r="AJ36" s="18">
        <f>ABS(J36 - AI36)</f>
        <v/>
      </c>
      <c r="AK36" s="18">
        <f>IF(AI36="", 0, IF(AI36&gt;J36, (AI36-J36)*2700000, 0))</f>
        <v/>
      </c>
      <c r="AL36" s="18">
        <f>IF(AI36="", 0, IF(J36&gt;AI36, (J36-AI36)*6000000, 0))</f>
        <v/>
      </c>
      <c r="AM36" s="18">
        <f>AK36 + AL36</f>
        <v/>
      </c>
      <c r="AN36" s="18">
        <f>ABS(AC36 - J36)</f>
        <v/>
      </c>
      <c r="AO36" s="18">
        <f>IF(AC36&gt;J36, (AC36-J36)*2700000, 0)</f>
        <v/>
      </c>
      <c r="AP36" s="18">
        <f>IF(J36&gt;AC36, (J36-AC36)*6000000, 0)</f>
        <v/>
      </c>
      <c r="AQ36" s="18">
        <f>AO36 + AP36 + Z36</f>
        <v/>
      </c>
    </row>
    <row r="37">
      <c r="A37" s="17" t="inlineStr">
        <is>
          <t>Ngày 35 (04/06)</t>
        </is>
      </c>
      <c r="B37" s="18" t="n">
        <v>35.8</v>
      </c>
      <c r="C37" s="18" t="n">
        <v>0</v>
      </c>
      <c r="D37" s="18" t="n">
        <v>0.57</v>
      </c>
      <c r="E37" s="18" t="n">
        <v>702.4</v>
      </c>
      <c r="F37" s="18" t="n">
        <v>1</v>
      </c>
      <c r="G37" s="18" t="n">
        <v>721.6</v>
      </c>
      <c r="H37" s="18">
        <f>G37*IF(F37=1, 0.85, 0.8)</f>
        <v/>
      </c>
      <c r="I37" s="17" t="inlineStr">
        <is>
          <t>2-4</t>
        </is>
      </c>
      <c r="J37" s="18">
        <f>INT(H37/(18*0.95))</f>
        <v/>
      </c>
      <c r="K37" s="18">
        <f>ROUND(MOD(H37, (18*0.95)), 2)</f>
        <v/>
      </c>
      <c r="L37" s="18">
        <f>IF(K37&gt;0, ROUNDUP(K37/(5*0.95), 0), 0)</f>
        <v/>
      </c>
      <c r="M37" s="18">
        <f>J37+L37</f>
        <v/>
      </c>
      <c r="N37" s="18">
        <f>ROUND(TREND(G$3:G$94, E$3:E$94, E37), 1)</f>
        <v/>
      </c>
      <c r="O37" s="18">
        <f>ROUND(TREND(G$3:G$94, B$3:E$94, B37:E37), 1)</f>
        <v/>
      </c>
      <c r="P37" s="18">
        <f>ROUND(TREND(G$3:G$94, B$3:F$94, B37:F37), 1)</f>
        <v/>
      </c>
      <c r="Q37" s="18">
        <f>P37*IF(F37=1, 0.85, 0.8)</f>
        <v/>
      </c>
      <c r="R37" s="18">
        <f>INT(Q37/(18*0.95))</f>
        <v/>
      </c>
      <c r="S37" s="18">
        <f>ROUND(MOD(Q37, (18*0.95)), 2)</f>
        <v/>
      </c>
      <c r="T37" s="18">
        <f>IF(S37&gt;0, ROUNDUP(S37/(5*0.95), 0), 0)</f>
        <v/>
      </c>
      <c r="U37" s="18">
        <f>R37+T37</f>
        <v/>
      </c>
      <c r="V37" s="18">
        <f>ROUND(R37*70%, 0)</f>
        <v/>
      </c>
      <c r="W37" s="18">
        <f>MIN(ROUNDUP(R37*0.2, 0), MAX(0, R37 - V37))</f>
        <v/>
      </c>
      <c r="X37" s="17">
        <f>IF(C37&gt;20, "Hủy slot (Mưa &gt; 20mm)", "Kích hoạt")</f>
        <v/>
      </c>
      <c r="Y37" s="18">
        <f>IF(C37&gt;20, 0, W37)</f>
        <v/>
      </c>
      <c r="Z37" s="18">
        <f>IF(C37&gt;20, W37*0.2*AF37, 0)</f>
        <v/>
      </c>
      <c r="AA37" s="18">
        <f>MAX(0, J37 - V37 - Y37)</f>
        <v/>
      </c>
      <c r="AB37" s="18">
        <f>L37</f>
        <v/>
      </c>
      <c r="AC37" s="18">
        <f>V37 + Y37 + AA37</f>
        <v/>
      </c>
      <c r="AD37" s="18">
        <f>AC37 + AB37</f>
        <v/>
      </c>
      <c r="AE37" s="18" t="n">
        <v>9</v>
      </c>
      <c r="AF37" s="18">
        <f>IF(OR(B37&gt;=34, F37=1), 11700000, 9000000)</f>
        <v/>
      </c>
      <c r="AG37" s="18">
        <f>IF(OR(B37&gt;=34, F37=1), 4550000, 3500000)</f>
        <v/>
      </c>
      <c r="AH37" s="18" t="n">
        <v>0.02</v>
      </c>
      <c r="AI37" s="18">
        <f>AVERAGE(J34:J36)</f>
        <v/>
      </c>
      <c r="AJ37" s="18">
        <f>ABS(J37 - AI37)</f>
        <v/>
      </c>
      <c r="AK37" s="18">
        <f>IF(AI37="", 0, IF(AI37&gt;J37, (AI37-J37)*2700000, 0))</f>
        <v/>
      </c>
      <c r="AL37" s="18">
        <f>IF(AI37="", 0, IF(J37&gt;AI37, (J37-AI37)*6000000, 0))</f>
        <v/>
      </c>
      <c r="AM37" s="18">
        <f>AK37 + AL37</f>
        <v/>
      </c>
      <c r="AN37" s="18">
        <f>ABS(AC37 - J37)</f>
        <v/>
      </c>
      <c r="AO37" s="18">
        <f>IF(AC37&gt;J37, (AC37-J37)*2700000, 0)</f>
        <v/>
      </c>
      <c r="AP37" s="18">
        <f>IF(J37&gt;AC37, (J37-AC37)*6000000, 0)</f>
        <v/>
      </c>
      <c r="AQ37" s="18">
        <f>AO37 + AP37 + Z37</f>
        <v/>
      </c>
    </row>
    <row r="38">
      <c r="A38" s="17" t="inlineStr">
        <is>
          <t>Ngày 36 (05/06)</t>
        </is>
      </c>
      <c r="B38" s="18" t="n">
        <v>35.2</v>
      </c>
      <c r="C38" s="18" t="n">
        <v>15</v>
      </c>
      <c r="D38" s="18" t="n">
        <v>0.58</v>
      </c>
      <c r="E38" s="18" t="n">
        <v>674.7</v>
      </c>
      <c r="F38" s="18" t="n">
        <v>1</v>
      </c>
      <c r="G38" s="18" t="n">
        <v>671.3</v>
      </c>
      <c r="H38" s="18">
        <f>G38*IF(F38=1, 0.85, 0.8)</f>
        <v/>
      </c>
      <c r="I38" s="17" t="inlineStr">
        <is>
          <t>2-4</t>
        </is>
      </c>
      <c r="J38" s="18">
        <f>INT(H38/(18*0.95))</f>
        <v/>
      </c>
      <c r="K38" s="18">
        <f>ROUND(MOD(H38, (18*0.95)), 2)</f>
        <v/>
      </c>
      <c r="L38" s="18">
        <f>IF(K38&gt;0, ROUNDUP(K38/(5*0.95), 0), 0)</f>
        <v/>
      </c>
      <c r="M38" s="18">
        <f>J38+L38</f>
        <v/>
      </c>
      <c r="N38" s="18">
        <f>ROUND(TREND(G$3:G$94, E$3:E$94, E38), 1)</f>
        <v/>
      </c>
      <c r="O38" s="18">
        <f>ROUND(TREND(G$3:G$94, B$3:E$94, B38:E38), 1)</f>
        <v/>
      </c>
      <c r="P38" s="18">
        <f>ROUND(TREND(G$3:G$94, B$3:F$94, B38:F38), 1)</f>
        <v/>
      </c>
      <c r="Q38" s="18">
        <f>P38*IF(F38=1, 0.85, 0.8)</f>
        <v/>
      </c>
      <c r="R38" s="18">
        <f>INT(Q38/(18*0.95))</f>
        <v/>
      </c>
      <c r="S38" s="18">
        <f>ROUND(MOD(Q38, (18*0.95)), 2)</f>
        <v/>
      </c>
      <c r="T38" s="18">
        <f>IF(S38&gt;0, ROUNDUP(S38/(5*0.95), 0), 0)</f>
        <v/>
      </c>
      <c r="U38" s="18">
        <f>R38+T38</f>
        <v/>
      </c>
      <c r="V38" s="18">
        <f>ROUND(R38*70%, 0)</f>
        <v/>
      </c>
      <c r="W38" s="18">
        <f>MIN(ROUNDUP(R38*0.2, 0), MAX(0, R38 - V38))</f>
        <v/>
      </c>
      <c r="X38" s="17">
        <f>IF(C38&gt;20, "Hủy slot (Mưa &gt; 20mm)", "Kích hoạt")</f>
        <v/>
      </c>
      <c r="Y38" s="18">
        <f>IF(C38&gt;20, 0, W38)</f>
        <v/>
      </c>
      <c r="Z38" s="18">
        <f>IF(C38&gt;20, W38*0.2*AF38, 0)</f>
        <v/>
      </c>
      <c r="AA38" s="18">
        <f>MAX(0, J38 - V38 - Y38)</f>
        <v/>
      </c>
      <c r="AB38" s="18">
        <f>L38</f>
        <v/>
      </c>
      <c r="AC38" s="18">
        <f>V38 + Y38 + AA38</f>
        <v/>
      </c>
      <c r="AD38" s="18">
        <f>AC38 + AB38</f>
        <v/>
      </c>
      <c r="AE38" s="18" t="n">
        <v>9</v>
      </c>
      <c r="AF38" s="18">
        <f>IF(OR(B38&gt;=34, F38=1), 11700000, 9000000)</f>
        <v/>
      </c>
      <c r="AG38" s="18">
        <f>IF(OR(B38&gt;=34, F38=1), 4550000, 3500000)</f>
        <v/>
      </c>
      <c r="AH38" s="18" t="n">
        <v>0.02</v>
      </c>
      <c r="AI38" s="18">
        <f>AVERAGE(J35:J37)</f>
        <v/>
      </c>
      <c r="AJ38" s="18">
        <f>ABS(J38 - AI38)</f>
        <v/>
      </c>
      <c r="AK38" s="18">
        <f>IF(AI38="", 0, IF(AI38&gt;J38, (AI38-J38)*2700000, 0))</f>
        <v/>
      </c>
      <c r="AL38" s="18">
        <f>IF(AI38="", 0, IF(J38&gt;AI38, (J38-AI38)*6000000, 0))</f>
        <v/>
      </c>
      <c r="AM38" s="18">
        <f>AK38 + AL38</f>
        <v/>
      </c>
      <c r="AN38" s="18">
        <f>ABS(AC38 - J38)</f>
        <v/>
      </c>
      <c r="AO38" s="18">
        <f>IF(AC38&gt;J38, (AC38-J38)*2700000, 0)</f>
        <v/>
      </c>
      <c r="AP38" s="18">
        <f>IF(J38&gt;AC38, (J38-AC38)*6000000, 0)</f>
        <v/>
      </c>
      <c r="AQ38" s="18">
        <f>AO38 + AP38 + Z38</f>
        <v/>
      </c>
    </row>
    <row r="39">
      <c r="A39" s="17" t="inlineStr">
        <is>
          <t>Ngày 37 (06/06)</t>
        </is>
      </c>
      <c r="B39" s="18" t="n">
        <v>35.5</v>
      </c>
      <c r="C39" s="18" t="n">
        <v>0</v>
      </c>
      <c r="D39" s="18" t="n">
        <v>0.6</v>
      </c>
      <c r="E39" s="18" t="n">
        <v>619.5</v>
      </c>
      <c r="F39" s="18" t="n">
        <v>0</v>
      </c>
      <c r="G39" s="18" t="n">
        <v>661.3</v>
      </c>
      <c r="H39" s="18">
        <f>G39*IF(F39=1, 0.85, 0.8)</f>
        <v/>
      </c>
      <c r="I39" s="17" t="inlineStr">
        <is>
          <t>2-4</t>
        </is>
      </c>
      <c r="J39" s="18">
        <f>INT(H39/(18*0.95))</f>
        <v/>
      </c>
      <c r="K39" s="18">
        <f>ROUND(MOD(H39, (18*0.95)), 2)</f>
        <v/>
      </c>
      <c r="L39" s="18">
        <f>IF(K39&gt;0, ROUNDUP(K39/(5*0.95), 0), 0)</f>
        <v/>
      </c>
      <c r="M39" s="18">
        <f>J39+L39</f>
        <v/>
      </c>
      <c r="N39" s="18">
        <f>ROUND(TREND(G$3:G$94, E$3:E$94, E39), 1)</f>
        <v/>
      </c>
      <c r="O39" s="18">
        <f>ROUND(TREND(G$3:G$94, B$3:E$94, B39:E39), 1)</f>
        <v/>
      </c>
      <c r="P39" s="18">
        <f>ROUND(TREND(G$3:G$94, B$3:F$94, B39:F39), 1)</f>
        <v/>
      </c>
      <c r="Q39" s="18">
        <f>P39*IF(F39=1, 0.85, 0.8)</f>
        <v/>
      </c>
      <c r="R39" s="18">
        <f>INT(Q39/(18*0.95))</f>
        <v/>
      </c>
      <c r="S39" s="18">
        <f>ROUND(MOD(Q39, (18*0.95)), 2)</f>
        <v/>
      </c>
      <c r="T39" s="18">
        <f>IF(S39&gt;0, ROUNDUP(S39/(5*0.95), 0), 0)</f>
        <v/>
      </c>
      <c r="U39" s="18">
        <f>R39+T39</f>
        <v/>
      </c>
      <c r="V39" s="18">
        <f>ROUND(R39*70%, 0)</f>
        <v/>
      </c>
      <c r="W39" s="18">
        <f>MIN(ROUNDUP(R39*0.2, 0), MAX(0, R39 - V39))</f>
        <v/>
      </c>
      <c r="X39" s="17">
        <f>IF(C39&gt;20, "Hủy slot (Mưa &gt; 20mm)", "Kích hoạt")</f>
        <v/>
      </c>
      <c r="Y39" s="18">
        <f>IF(C39&gt;20, 0, W39)</f>
        <v/>
      </c>
      <c r="Z39" s="18">
        <f>IF(C39&gt;20, W39*0.2*AF39, 0)</f>
        <v/>
      </c>
      <c r="AA39" s="18">
        <f>MAX(0, J39 - V39 - Y39)</f>
        <v/>
      </c>
      <c r="AB39" s="18">
        <f>L39</f>
        <v/>
      </c>
      <c r="AC39" s="18">
        <f>V39 + Y39 + AA39</f>
        <v/>
      </c>
      <c r="AD39" s="18">
        <f>AC39 + AB39</f>
        <v/>
      </c>
      <c r="AE39" s="18" t="n">
        <v>9</v>
      </c>
      <c r="AF39" s="18">
        <f>IF(OR(B39&gt;=34, F39=1), 11700000, 9000000)</f>
        <v/>
      </c>
      <c r="AG39" s="18">
        <f>IF(OR(B39&gt;=34, F39=1), 4550000, 3500000)</f>
        <v/>
      </c>
      <c r="AH39" s="18" t="n">
        <v>0.02</v>
      </c>
      <c r="AI39" s="18">
        <f>AVERAGE(J36:J38)</f>
        <v/>
      </c>
      <c r="AJ39" s="18">
        <f>ABS(J39 - AI39)</f>
        <v/>
      </c>
      <c r="AK39" s="18">
        <f>IF(AI39="", 0, IF(AI39&gt;J39, (AI39-J39)*2700000, 0))</f>
        <v/>
      </c>
      <c r="AL39" s="18">
        <f>IF(AI39="", 0, IF(J39&gt;AI39, (J39-AI39)*6000000, 0))</f>
        <v/>
      </c>
      <c r="AM39" s="18">
        <f>AK39 + AL39</f>
        <v/>
      </c>
      <c r="AN39" s="18">
        <f>ABS(AC39 - J39)</f>
        <v/>
      </c>
      <c r="AO39" s="18">
        <f>IF(AC39&gt;J39, (AC39-J39)*2700000, 0)</f>
        <v/>
      </c>
      <c r="AP39" s="18">
        <f>IF(J39&gt;AC39, (J39-AC39)*6000000, 0)</f>
        <v/>
      </c>
      <c r="AQ39" s="18">
        <f>AO39 + AP39 + Z39</f>
        <v/>
      </c>
    </row>
    <row r="40">
      <c r="A40" s="17" t="inlineStr">
        <is>
          <t>Ngày 38 (07/06)</t>
        </is>
      </c>
      <c r="B40" s="18" t="n">
        <v>33.5</v>
      </c>
      <c r="C40" s="18" t="n">
        <v>0</v>
      </c>
      <c r="D40" s="18" t="n">
        <v>0.62</v>
      </c>
      <c r="E40" s="18" t="n">
        <v>576.7</v>
      </c>
      <c r="F40" s="18" t="n">
        <v>0</v>
      </c>
      <c r="G40" s="18" t="n">
        <v>639.8</v>
      </c>
      <c r="H40" s="18">
        <f>G40*IF(F40=1, 0.85, 0.8)</f>
        <v/>
      </c>
      <c r="I40" s="17" t="inlineStr">
        <is>
          <t>2-4</t>
        </is>
      </c>
      <c r="J40" s="18">
        <f>INT(H40/(18*0.95))</f>
        <v/>
      </c>
      <c r="K40" s="18">
        <f>ROUND(MOD(H40, (18*0.95)), 2)</f>
        <v/>
      </c>
      <c r="L40" s="18">
        <f>IF(K40&gt;0, ROUNDUP(K40/(5*0.95), 0), 0)</f>
        <v/>
      </c>
      <c r="M40" s="18">
        <f>J40+L40</f>
        <v/>
      </c>
      <c r="N40" s="18">
        <f>ROUND(TREND(G$3:G$94, E$3:E$94, E40), 1)</f>
        <v/>
      </c>
      <c r="O40" s="18">
        <f>ROUND(TREND(G$3:G$94, B$3:E$94, B40:E40), 1)</f>
        <v/>
      </c>
      <c r="P40" s="18">
        <f>ROUND(TREND(G$3:G$94, B$3:F$94, B40:F40), 1)</f>
        <v/>
      </c>
      <c r="Q40" s="18">
        <f>P40*IF(F40=1, 0.85, 0.8)</f>
        <v/>
      </c>
      <c r="R40" s="18">
        <f>INT(Q40/(18*0.95))</f>
        <v/>
      </c>
      <c r="S40" s="18">
        <f>ROUND(MOD(Q40, (18*0.95)), 2)</f>
        <v/>
      </c>
      <c r="T40" s="18">
        <f>IF(S40&gt;0, ROUNDUP(S40/(5*0.95), 0), 0)</f>
        <v/>
      </c>
      <c r="U40" s="18">
        <f>R40+T40</f>
        <v/>
      </c>
      <c r="V40" s="18">
        <f>ROUND(R40*70%, 0)</f>
        <v/>
      </c>
      <c r="W40" s="18">
        <f>MIN(ROUNDUP(R40*0.2, 0), MAX(0, R40 - V40))</f>
        <v/>
      </c>
      <c r="X40" s="17">
        <f>IF(C40&gt;20, "Hủy slot (Mưa &gt; 20mm)", "Kích hoạt")</f>
        <v/>
      </c>
      <c r="Y40" s="18">
        <f>IF(C40&gt;20, 0, W40)</f>
        <v/>
      </c>
      <c r="Z40" s="18">
        <f>IF(C40&gt;20, W40*0.2*AF40, 0)</f>
        <v/>
      </c>
      <c r="AA40" s="18">
        <f>MAX(0, J40 - V40 - Y40)</f>
        <v/>
      </c>
      <c r="AB40" s="18">
        <f>L40</f>
        <v/>
      </c>
      <c r="AC40" s="18">
        <f>V40 + Y40 + AA40</f>
        <v/>
      </c>
      <c r="AD40" s="18">
        <f>AC40 + AB40</f>
        <v/>
      </c>
      <c r="AE40" s="18" t="n">
        <v>9</v>
      </c>
      <c r="AF40" s="18">
        <f>IF(OR(B40&gt;=34, F40=1), 11700000, 9000000)</f>
        <v/>
      </c>
      <c r="AG40" s="18">
        <f>IF(OR(B40&gt;=34, F40=1), 4550000, 3500000)</f>
        <v/>
      </c>
      <c r="AH40" s="18" t="n">
        <v>0.02</v>
      </c>
      <c r="AI40" s="18">
        <f>AVERAGE(J37:J39)</f>
        <v/>
      </c>
      <c r="AJ40" s="18">
        <f>ABS(J40 - AI40)</f>
        <v/>
      </c>
      <c r="AK40" s="18">
        <f>IF(AI40="", 0, IF(AI40&gt;J40, (AI40-J40)*2700000, 0))</f>
        <v/>
      </c>
      <c r="AL40" s="18">
        <f>IF(AI40="", 0, IF(J40&gt;AI40, (J40-AI40)*6000000, 0))</f>
        <v/>
      </c>
      <c r="AM40" s="18">
        <f>AK40 + AL40</f>
        <v/>
      </c>
      <c r="AN40" s="18">
        <f>ABS(AC40 - J40)</f>
        <v/>
      </c>
      <c r="AO40" s="18">
        <f>IF(AC40&gt;J40, (AC40-J40)*2700000, 0)</f>
        <v/>
      </c>
      <c r="AP40" s="18">
        <f>IF(J40&gt;AC40, (J40-AC40)*6000000, 0)</f>
        <v/>
      </c>
      <c r="AQ40" s="18">
        <f>AO40 + AP40 + Z40</f>
        <v/>
      </c>
    </row>
    <row r="41">
      <c r="A41" s="17" t="inlineStr">
        <is>
          <t>Ngày 39 (08/06)</t>
        </is>
      </c>
      <c r="B41" s="18" t="n">
        <v>33.2</v>
      </c>
      <c r="C41" s="18" t="n">
        <v>0</v>
      </c>
      <c r="D41" s="18" t="n">
        <v>0.63</v>
      </c>
      <c r="E41" s="18" t="n">
        <v>618.6</v>
      </c>
      <c r="F41" s="18" t="n">
        <v>0</v>
      </c>
      <c r="G41" s="18" t="n">
        <v>645.1</v>
      </c>
      <c r="H41" s="18">
        <f>G41*IF(F41=1, 0.85, 0.8)</f>
        <v/>
      </c>
      <c r="I41" s="17" t="inlineStr">
        <is>
          <t>2-4</t>
        </is>
      </c>
      <c r="J41" s="18">
        <f>INT(H41/(18*0.95))</f>
        <v/>
      </c>
      <c r="K41" s="18">
        <f>ROUND(MOD(H41, (18*0.95)), 2)</f>
        <v/>
      </c>
      <c r="L41" s="18">
        <f>IF(K41&gt;0, ROUNDUP(K41/(5*0.95), 0), 0)</f>
        <v/>
      </c>
      <c r="M41" s="18">
        <f>J41+L41</f>
        <v/>
      </c>
      <c r="N41" s="18">
        <f>ROUND(TREND(G$3:G$94, E$3:E$94, E41), 1)</f>
        <v/>
      </c>
      <c r="O41" s="18">
        <f>ROUND(TREND(G$3:G$94, B$3:E$94, B41:E41), 1)</f>
        <v/>
      </c>
      <c r="P41" s="18">
        <f>ROUND(TREND(G$3:G$94, B$3:F$94, B41:F41), 1)</f>
        <v/>
      </c>
      <c r="Q41" s="18">
        <f>P41*IF(F41=1, 0.85, 0.8)</f>
        <v/>
      </c>
      <c r="R41" s="18">
        <f>INT(Q41/(18*0.95))</f>
        <v/>
      </c>
      <c r="S41" s="18">
        <f>ROUND(MOD(Q41, (18*0.95)), 2)</f>
        <v/>
      </c>
      <c r="T41" s="18">
        <f>IF(S41&gt;0, ROUNDUP(S41/(5*0.95), 0), 0)</f>
        <v/>
      </c>
      <c r="U41" s="18">
        <f>R41+T41</f>
        <v/>
      </c>
      <c r="V41" s="18">
        <f>ROUND(R41*70%, 0)</f>
        <v/>
      </c>
      <c r="W41" s="18">
        <f>MIN(ROUNDUP(R41*0.2, 0), MAX(0, R41 - V41))</f>
        <v/>
      </c>
      <c r="X41" s="17">
        <f>IF(C41&gt;20, "Hủy slot (Mưa &gt; 20mm)", "Kích hoạt")</f>
        <v/>
      </c>
      <c r="Y41" s="18">
        <f>IF(C41&gt;20, 0, W41)</f>
        <v/>
      </c>
      <c r="Z41" s="18">
        <f>IF(C41&gt;20, W41*0.2*AF41, 0)</f>
        <v/>
      </c>
      <c r="AA41" s="18">
        <f>MAX(0, J41 - V41 - Y41)</f>
        <v/>
      </c>
      <c r="AB41" s="18">
        <f>L41</f>
        <v/>
      </c>
      <c r="AC41" s="18">
        <f>V41 + Y41 + AA41</f>
        <v/>
      </c>
      <c r="AD41" s="18">
        <f>AC41 + AB41</f>
        <v/>
      </c>
      <c r="AE41" s="18" t="n">
        <v>9</v>
      </c>
      <c r="AF41" s="18">
        <f>IF(OR(B41&gt;=34, F41=1), 11700000, 9000000)</f>
        <v/>
      </c>
      <c r="AG41" s="18">
        <f>IF(OR(B41&gt;=34, F41=1), 4550000, 3500000)</f>
        <v/>
      </c>
      <c r="AH41" s="18" t="n">
        <v>0.02</v>
      </c>
      <c r="AI41" s="18">
        <f>AVERAGE(J38:J40)</f>
        <v/>
      </c>
      <c r="AJ41" s="18">
        <f>ABS(J41 - AI41)</f>
        <v/>
      </c>
      <c r="AK41" s="18">
        <f>IF(AI41="", 0, IF(AI41&gt;J41, (AI41-J41)*2700000, 0))</f>
        <v/>
      </c>
      <c r="AL41" s="18">
        <f>IF(AI41="", 0, IF(J41&gt;AI41, (J41-AI41)*6000000, 0))</f>
        <v/>
      </c>
      <c r="AM41" s="18">
        <f>AK41 + AL41</f>
        <v/>
      </c>
      <c r="AN41" s="18">
        <f>ABS(AC41 - J41)</f>
        <v/>
      </c>
      <c r="AO41" s="18">
        <f>IF(AC41&gt;J41, (AC41-J41)*2700000, 0)</f>
        <v/>
      </c>
      <c r="AP41" s="18">
        <f>IF(J41&gt;AC41, (J41-AC41)*6000000, 0)</f>
        <v/>
      </c>
      <c r="AQ41" s="18">
        <f>AO41 + AP41 + Z41</f>
        <v/>
      </c>
    </row>
    <row r="42">
      <c r="A42" s="17" t="inlineStr">
        <is>
          <t>Ngày 40 (09/06)</t>
        </is>
      </c>
      <c r="B42" s="18" t="n">
        <v>35.9</v>
      </c>
      <c r="C42" s="18" t="n">
        <v>0</v>
      </c>
      <c r="D42" s="18" t="n">
        <v>0.65</v>
      </c>
      <c r="E42" s="18" t="n">
        <v>612.3</v>
      </c>
      <c r="F42" s="18" t="n">
        <v>0</v>
      </c>
      <c r="G42" s="18" t="n">
        <v>702.7</v>
      </c>
      <c r="H42" s="18">
        <f>G42*IF(F42=1, 0.85, 0.8)</f>
        <v/>
      </c>
      <c r="I42" s="17" t="inlineStr">
        <is>
          <t>2-4</t>
        </is>
      </c>
      <c r="J42" s="18">
        <f>INT(H42/(18*0.95))</f>
        <v/>
      </c>
      <c r="K42" s="18">
        <f>ROUND(MOD(H42, (18*0.95)), 2)</f>
        <v/>
      </c>
      <c r="L42" s="18">
        <f>IF(K42&gt;0, ROUNDUP(K42/(5*0.95), 0), 0)</f>
        <v/>
      </c>
      <c r="M42" s="18">
        <f>J42+L42</f>
        <v/>
      </c>
      <c r="N42" s="18">
        <f>ROUND(TREND(G$3:G$94, E$3:E$94, E42), 1)</f>
        <v/>
      </c>
      <c r="O42" s="18">
        <f>ROUND(TREND(G$3:G$94, B$3:E$94, B42:E42), 1)</f>
        <v/>
      </c>
      <c r="P42" s="18">
        <f>ROUND(TREND(G$3:G$94, B$3:F$94, B42:F42), 1)</f>
        <v/>
      </c>
      <c r="Q42" s="18">
        <f>P42*IF(F42=1, 0.85, 0.8)</f>
        <v/>
      </c>
      <c r="R42" s="18">
        <f>INT(Q42/(18*0.95))</f>
        <v/>
      </c>
      <c r="S42" s="18">
        <f>ROUND(MOD(Q42, (18*0.95)), 2)</f>
        <v/>
      </c>
      <c r="T42" s="18">
        <f>IF(S42&gt;0, ROUNDUP(S42/(5*0.95), 0), 0)</f>
        <v/>
      </c>
      <c r="U42" s="18">
        <f>R42+T42</f>
        <v/>
      </c>
      <c r="V42" s="18">
        <f>ROUND(R42*70%, 0)</f>
        <v/>
      </c>
      <c r="W42" s="18">
        <f>MIN(ROUNDUP(R42*0.2, 0), MAX(0, R42 - V42))</f>
        <v/>
      </c>
      <c r="X42" s="17">
        <f>IF(C42&gt;20, "Hủy slot (Mưa &gt; 20mm)", "Kích hoạt")</f>
        <v/>
      </c>
      <c r="Y42" s="18">
        <f>IF(C42&gt;20, 0, W42)</f>
        <v/>
      </c>
      <c r="Z42" s="18">
        <f>IF(C42&gt;20, W42*0.2*AF42, 0)</f>
        <v/>
      </c>
      <c r="AA42" s="18">
        <f>MAX(0, J42 - V42 - Y42)</f>
        <v/>
      </c>
      <c r="AB42" s="18">
        <f>L42</f>
        <v/>
      </c>
      <c r="AC42" s="18">
        <f>V42 + Y42 + AA42</f>
        <v/>
      </c>
      <c r="AD42" s="18">
        <f>AC42 + AB42</f>
        <v/>
      </c>
      <c r="AE42" s="18" t="n">
        <v>9</v>
      </c>
      <c r="AF42" s="18">
        <f>IF(OR(B42&gt;=34, F42=1), 11700000, 9000000)</f>
        <v/>
      </c>
      <c r="AG42" s="18">
        <f>IF(OR(B42&gt;=34, F42=1), 4550000, 3500000)</f>
        <v/>
      </c>
      <c r="AH42" s="18" t="n">
        <v>0.02</v>
      </c>
      <c r="AI42" s="18">
        <f>AVERAGE(J39:J41)</f>
        <v/>
      </c>
      <c r="AJ42" s="18">
        <f>ABS(J42 - AI42)</f>
        <v/>
      </c>
      <c r="AK42" s="18">
        <f>IF(AI42="", 0, IF(AI42&gt;J42, (AI42-J42)*2700000, 0))</f>
        <v/>
      </c>
      <c r="AL42" s="18">
        <f>IF(AI42="", 0, IF(J42&gt;AI42, (J42-AI42)*6000000, 0))</f>
        <v/>
      </c>
      <c r="AM42" s="18">
        <f>AK42 + AL42</f>
        <v/>
      </c>
      <c r="AN42" s="18">
        <f>ABS(AC42 - J42)</f>
        <v/>
      </c>
      <c r="AO42" s="18">
        <f>IF(AC42&gt;J42, (AC42-J42)*2700000, 0)</f>
        <v/>
      </c>
      <c r="AP42" s="18">
        <f>IF(J42&gt;AC42, (J42-AC42)*6000000, 0)</f>
        <v/>
      </c>
      <c r="AQ42" s="18">
        <f>AO42 + AP42 + Z42</f>
        <v/>
      </c>
    </row>
    <row r="43">
      <c r="A43" s="17" t="inlineStr">
        <is>
          <t>Ngày 41 (10/06)</t>
        </is>
      </c>
      <c r="B43" s="18" t="n">
        <v>37.7</v>
      </c>
      <c r="C43" s="18" t="n">
        <v>0</v>
      </c>
      <c r="D43" s="18" t="n">
        <v>0.67</v>
      </c>
      <c r="E43" s="18" t="n">
        <v>628.4</v>
      </c>
      <c r="F43" s="18" t="n">
        <v>0</v>
      </c>
      <c r="G43" s="18" t="n">
        <v>754.5</v>
      </c>
      <c r="H43" s="18">
        <f>G43*IF(F43=1, 0.85, 0.8)</f>
        <v/>
      </c>
      <c r="I43" s="17" t="inlineStr">
        <is>
          <t>2-4</t>
        </is>
      </c>
      <c r="J43" s="18">
        <f>INT(H43/(18*0.95))</f>
        <v/>
      </c>
      <c r="K43" s="18">
        <f>ROUND(MOD(H43, (18*0.95)), 2)</f>
        <v/>
      </c>
      <c r="L43" s="18">
        <f>IF(K43&gt;0, ROUNDUP(K43/(5*0.95), 0), 0)</f>
        <v/>
      </c>
      <c r="M43" s="18">
        <f>J43+L43</f>
        <v/>
      </c>
      <c r="N43" s="18">
        <f>ROUND(TREND(G$3:G$94, E$3:E$94, E43), 1)</f>
        <v/>
      </c>
      <c r="O43" s="18">
        <f>ROUND(TREND(G$3:G$94, B$3:E$94, B43:E43), 1)</f>
        <v/>
      </c>
      <c r="P43" s="18">
        <f>ROUND(TREND(G$3:G$94, B$3:F$94, B43:F43), 1)</f>
        <v/>
      </c>
      <c r="Q43" s="18">
        <f>P43*IF(F43=1, 0.85, 0.8)</f>
        <v/>
      </c>
      <c r="R43" s="18">
        <f>INT(Q43/(18*0.95))</f>
        <v/>
      </c>
      <c r="S43" s="18">
        <f>ROUND(MOD(Q43, (18*0.95)), 2)</f>
        <v/>
      </c>
      <c r="T43" s="18">
        <f>IF(S43&gt;0, ROUNDUP(S43/(5*0.95), 0), 0)</f>
        <v/>
      </c>
      <c r="U43" s="18">
        <f>R43+T43</f>
        <v/>
      </c>
      <c r="V43" s="18">
        <f>ROUND(R43*70%, 0)</f>
        <v/>
      </c>
      <c r="W43" s="18">
        <f>MIN(ROUNDUP(R43*0.2, 0), MAX(0, R43 - V43))</f>
        <v/>
      </c>
      <c r="X43" s="17">
        <f>IF(C43&gt;20, "Hủy slot (Mưa &gt; 20mm)", "Kích hoạt")</f>
        <v/>
      </c>
      <c r="Y43" s="18">
        <f>IF(C43&gt;20, 0, W43)</f>
        <v/>
      </c>
      <c r="Z43" s="18">
        <f>IF(C43&gt;20, W43*0.2*AF43, 0)</f>
        <v/>
      </c>
      <c r="AA43" s="18">
        <f>MAX(0, J43 - V43 - Y43)</f>
        <v/>
      </c>
      <c r="AB43" s="18">
        <f>L43</f>
        <v/>
      </c>
      <c r="AC43" s="18">
        <f>V43 + Y43 + AA43</f>
        <v/>
      </c>
      <c r="AD43" s="18">
        <f>AC43 + AB43</f>
        <v/>
      </c>
      <c r="AE43" s="18" t="n">
        <v>9</v>
      </c>
      <c r="AF43" s="18">
        <f>IF(OR(B43&gt;=34, F43=1), 11700000, 9000000)</f>
        <v/>
      </c>
      <c r="AG43" s="18">
        <f>IF(OR(B43&gt;=34, F43=1), 4550000, 3500000)</f>
        <v/>
      </c>
      <c r="AH43" s="18" t="n">
        <v>0.02</v>
      </c>
      <c r="AI43" s="18">
        <f>AVERAGE(J40:J42)</f>
        <v/>
      </c>
      <c r="AJ43" s="18">
        <f>ABS(J43 - AI43)</f>
        <v/>
      </c>
      <c r="AK43" s="18">
        <f>IF(AI43="", 0, IF(AI43&gt;J43, (AI43-J43)*2700000, 0))</f>
        <v/>
      </c>
      <c r="AL43" s="18">
        <f>IF(AI43="", 0, IF(J43&gt;AI43, (J43-AI43)*6000000, 0))</f>
        <v/>
      </c>
      <c r="AM43" s="18">
        <f>AK43 + AL43</f>
        <v/>
      </c>
      <c r="AN43" s="18">
        <f>ABS(AC43 - J43)</f>
        <v/>
      </c>
      <c r="AO43" s="18">
        <f>IF(AC43&gt;J43, (AC43-J43)*2700000, 0)</f>
        <v/>
      </c>
      <c r="AP43" s="18">
        <f>IF(J43&gt;AC43, (J43-AC43)*6000000, 0)</f>
        <v/>
      </c>
      <c r="AQ43" s="18">
        <f>AO43 + AP43 + Z43</f>
        <v/>
      </c>
    </row>
    <row r="44">
      <c r="A44" s="17" t="inlineStr">
        <is>
          <t>Ngày 42 (11/06)</t>
        </is>
      </c>
      <c r="B44" s="18" t="n">
        <v>38</v>
      </c>
      <c r="C44" s="18" t="n">
        <v>25</v>
      </c>
      <c r="D44" s="18" t="n">
        <v>0.68</v>
      </c>
      <c r="E44" s="18" t="n">
        <v>682.1</v>
      </c>
      <c r="F44" s="18" t="n">
        <v>1</v>
      </c>
      <c r="G44" s="18" t="n">
        <v>389.2</v>
      </c>
      <c r="H44" s="18">
        <f>G44*IF(F44=1, 0.85, 0.8)</f>
        <v/>
      </c>
      <c r="I44" s="17" t="inlineStr">
        <is>
          <t>2-4</t>
        </is>
      </c>
      <c r="J44" s="18">
        <f>INT(H44/(18*0.95))</f>
        <v/>
      </c>
      <c r="K44" s="18">
        <f>ROUND(MOD(H44, (18*0.95)), 2)</f>
        <v/>
      </c>
      <c r="L44" s="18">
        <f>IF(K44&gt;0, ROUNDUP(K44/(5*0.95), 0), 0)</f>
        <v/>
      </c>
      <c r="M44" s="18">
        <f>J44+L44</f>
        <v/>
      </c>
      <c r="N44" s="18">
        <f>ROUND(TREND(G$3:G$94, E$3:E$94, E44), 1)</f>
        <v/>
      </c>
      <c r="O44" s="18">
        <f>ROUND(TREND(G$3:G$94, B$3:E$94, B44:E44), 1)</f>
        <v/>
      </c>
      <c r="P44" s="18">
        <f>ROUND(TREND(G$3:G$94, B$3:F$94, B44:F44), 1)</f>
        <v/>
      </c>
      <c r="Q44" s="18">
        <f>P44*IF(F44=1, 0.85, 0.8)</f>
        <v/>
      </c>
      <c r="R44" s="18">
        <f>INT(Q44/(18*0.95))</f>
        <v/>
      </c>
      <c r="S44" s="18">
        <f>ROUND(MOD(Q44, (18*0.95)), 2)</f>
        <v/>
      </c>
      <c r="T44" s="18">
        <f>IF(S44&gt;0, ROUNDUP(S44/(5*0.95), 0), 0)</f>
        <v/>
      </c>
      <c r="U44" s="18">
        <f>R44+T44</f>
        <v/>
      </c>
      <c r="V44" s="18">
        <f>ROUND(R44*70%, 0)</f>
        <v/>
      </c>
      <c r="W44" s="18">
        <f>MIN(ROUNDUP(R44*0.2, 0), MAX(0, R44 - V44))</f>
        <v/>
      </c>
      <c r="X44" s="17">
        <f>IF(C44&gt;20, "Hủy slot (Mưa &gt; 20mm)", "Kích hoạt")</f>
        <v/>
      </c>
      <c r="Y44" s="18">
        <f>IF(C44&gt;20, 0, W44)</f>
        <v/>
      </c>
      <c r="Z44" s="18">
        <f>IF(C44&gt;20, W44*0.2*AF44, 0)</f>
        <v/>
      </c>
      <c r="AA44" s="18">
        <f>MAX(0, J44 - V44 - Y44)</f>
        <v/>
      </c>
      <c r="AB44" s="18">
        <f>L44</f>
        <v/>
      </c>
      <c r="AC44" s="18">
        <f>V44 + Y44 + AA44</f>
        <v/>
      </c>
      <c r="AD44" s="18">
        <f>AC44 + AB44</f>
        <v/>
      </c>
      <c r="AE44" s="18" t="n">
        <v>9</v>
      </c>
      <c r="AF44" s="18">
        <f>IF(OR(B44&gt;=34, F44=1), 11700000, 9000000)</f>
        <v/>
      </c>
      <c r="AG44" s="18">
        <f>IF(OR(B44&gt;=34, F44=1), 4550000, 3500000)</f>
        <v/>
      </c>
      <c r="AH44" s="18" t="n">
        <v>0.02</v>
      </c>
      <c r="AI44" s="18">
        <f>AVERAGE(J41:J43)</f>
        <v/>
      </c>
      <c r="AJ44" s="18">
        <f>ABS(J44 - AI44)</f>
        <v/>
      </c>
      <c r="AK44" s="18">
        <f>IF(AI44="", 0, IF(AI44&gt;J44, (AI44-J44)*2700000, 0))</f>
        <v/>
      </c>
      <c r="AL44" s="18">
        <f>IF(AI44="", 0, IF(J44&gt;AI44, (J44-AI44)*6000000, 0))</f>
        <v/>
      </c>
      <c r="AM44" s="18">
        <f>AK44 + AL44</f>
        <v/>
      </c>
      <c r="AN44" s="18">
        <f>ABS(AC44 - J44)</f>
        <v/>
      </c>
      <c r="AO44" s="18">
        <f>IF(AC44&gt;J44, (AC44-J44)*2700000, 0)</f>
        <v/>
      </c>
      <c r="AP44" s="18">
        <f>IF(J44&gt;AC44, (J44-AC44)*6000000, 0)</f>
        <v/>
      </c>
      <c r="AQ44" s="18">
        <f>AO44 + AP44 + Z44</f>
        <v/>
      </c>
    </row>
    <row r="45">
      <c r="A45" s="17" t="inlineStr">
        <is>
          <t>Ngày 43 (12/06)</t>
        </is>
      </c>
      <c r="B45" s="18" t="n">
        <v>36.1</v>
      </c>
      <c r="C45" s="18" t="n">
        <v>0</v>
      </c>
      <c r="D45" s="18" t="n">
        <v>0.7</v>
      </c>
      <c r="E45" s="18" t="n">
        <v>789</v>
      </c>
      <c r="F45" s="18" t="n">
        <v>1</v>
      </c>
      <c r="G45" s="18" t="n">
        <v>791.2</v>
      </c>
      <c r="H45" s="18">
        <f>G45*IF(F45=1, 0.85, 0.8)</f>
        <v/>
      </c>
      <c r="I45" s="17" t="inlineStr">
        <is>
          <t>2-4</t>
        </is>
      </c>
      <c r="J45" s="18">
        <f>INT(H45/(18*0.95))</f>
        <v/>
      </c>
      <c r="K45" s="18">
        <f>ROUND(MOD(H45, (18*0.95)), 2)</f>
        <v/>
      </c>
      <c r="L45" s="18">
        <f>IF(K45&gt;0, ROUNDUP(K45/(5*0.95), 0), 0)</f>
        <v/>
      </c>
      <c r="M45" s="18">
        <f>J45+L45</f>
        <v/>
      </c>
      <c r="N45" s="18">
        <f>ROUND(TREND(G$3:G$94, E$3:E$94, E45), 1)</f>
        <v/>
      </c>
      <c r="O45" s="18">
        <f>ROUND(TREND(G$3:G$94, B$3:E$94, B45:E45), 1)</f>
        <v/>
      </c>
      <c r="P45" s="18">
        <f>ROUND(TREND(G$3:G$94, B$3:F$94, B45:F45), 1)</f>
        <v/>
      </c>
      <c r="Q45" s="18">
        <f>P45*IF(F45=1, 0.85, 0.8)</f>
        <v/>
      </c>
      <c r="R45" s="18">
        <f>INT(Q45/(18*0.95))</f>
        <v/>
      </c>
      <c r="S45" s="18">
        <f>ROUND(MOD(Q45, (18*0.95)), 2)</f>
        <v/>
      </c>
      <c r="T45" s="18">
        <f>IF(S45&gt;0, ROUNDUP(S45/(5*0.95), 0), 0)</f>
        <v/>
      </c>
      <c r="U45" s="18">
        <f>R45+T45</f>
        <v/>
      </c>
      <c r="V45" s="18">
        <f>ROUND(R45*70%, 0)</f>
        <v/>
      </c>
      <c r="W45" s="18">
        <f>MIN(ROUNDUP(R45*0.2, 0), MAX(0, R45 - V45))</f>
        <v/>
      </c>
      <c r="X45" s="17">
        <f>IF(C45&gt;20, "Hủy slot (Mưa &gt; 20mm)", "Kích hoạt")</f>
        <v/>
      </c>
      <c r="Y45" s="18">
        <f>IF(C45&gt;20, 0, W45)</f>
        <v/>
      </c>
      <c r="Z45" s="18">
        <f>IF(C45&gt;20, W45*0.2*AF45, 0)</f>
        <v/>
      </c>
      <c r="AA45" s="18">
        <f>MAX(0, J45 - V45 - Y45)</f>
        <v/>
      </c>
      <c r="AB45" s="18">
        <f>L45</f>
        <v/>
      </c>
      <c r="AC45" s="18">
        <f>V45 + Y45 + AA45</f>
        <v/>
      </c>
      <c r="AD45" s="18">
        <f>AC45 + AB45</f>
        <v/>
      </c>
      <c r="AE45" s="18" t="n">
        <v>9</v>
      </c>
      <c r="AF45" s="18">
        <f>IF(OR(B45&gt;=34, F45=1), 11700000, 9000000)</f>
        <v/>
      </c>
      <c r="AG45" s="18">
        <f>IF(OR(B45&gt;=34, F45=1), 4550000, 3500000)</f>
        <v/>
      </c>
      <c r="AH45" s="18" t="n">
        <v>0.02</v>
      </c>
      <c r="AI45" s="18">
        <f>AVERAGE(J42:J44)</f>
        <v/>
      </c>
      <c r="AJ45" s="18">
        <f>ABS(J45 - AI45)</f>
        <v/>
      </c>
      <c r="AK45" s="18">
        <f>IF(AI45="", 0, IF(AI45&gt;J45, (AI45-J45)*2700000, 0))</f>
        <v/>
      </c>
      <c r="AL45" s="18">
        <f>IF(AI45="", 0, IF(J45&gt;AI45, (J45-AI45)*6000000, 0))</f>
        <v/>
      </c>
      <c r="AM45" s="18">
        <f>AK45 + AL45</f>
        <v/>
      </c>
      <c r="AN45" s="18">
        <f>ABS(AC45 - J45)</f>
        <v/>
      </c>
      <c r="AO45" s="18">
        <f>IF(AC45&gt;J45, (AC45-J45)*2700000, 0)</f>
        <v/>
      </c>
      <c r="AP45" s="18">
        <f>IF(J45&gt;AC45, (J45-AC45)*6000000, 0)</f>
        <v/>
      </c>
      <c r="AQ45" s="18">
        <f>AO45 + AP45 + Z45</f>
        <v/>
      </c>
    </row>
    <row r="46">
      <c r="A46" s="17" t="inlineStr">
        <is>
          <t>Ngày 44 (13/06)</t>
        </is>
      </c>
      <c r="B46" s="18" t="n">
        <v>34.7</v>
      </c>
      <c r="C46" s="18" t="n">
        <v>0</v>
      </c>
      <c r="D46" s="18" t="n">
        <v>0.72</v>
      </c>
      <c r="E46" s="18" t="n">
        <v>683.4</v>
      </c>
      <c r="F46" s="18" t="n">
        <v>0</v>
      </c>
      <c r="G46" s="18" t="n">
        <v>652.3</v>
      </c>
      <c r="H46" s="18">
        <f>G46*IF(F46=1, 0.85, 0.8)</f>
        <v/>
      </c>
      <c r="I46" s="17" t="inlineStr">
        <is>
          <t>2-4</t>
        </is>
      </c>
      <c r="J46" s="18">
        <f>INT(H46/(18*0.95))</f>
        <v/>
      </c>
      <c r="K46" s="18">
        <f>ROUND(MOD(H46, (18*0.95)), 2)</f>
        <v/>
      </c>
      <c r="L46" s="18">
        <f>IF(K46&gt;0, ROUNDUP(K46/(5*0.95), 0), 0)</f>
        <v/>
      </c>
      <c r="M46" s="18">
        <f>J46+L46</f>
        <v/>
      </c>
      <c r="N46" s="18">
        <f>ROUND(TREND(G$3:G$94, E$3:E$94, E46), 1)</f>
        <v/>
      </c>
      <c r="O46" s="18">
        <f>ROUND(TREND(G$3:G$94, B$3:E$94, B46:E46), 1)</f>
        <v/>
      </c>
      <c r="P46" s="18">
        <f>ROUND(TREND(G$3:G$94, B$3:F$94, B46:F46), 1)</f>
        <v/>
      </c>
      <c r="Q46" s="18">
        <f>P46*IF(F46=1, 0.85, 0.8)</f>
        <v/>
      </c>
      <c r="R46" s="18">
        <f>INT(Q46/(18*0.95))</f>
        <v/>
      </c>
      <c r="S46" s="18">
        <f>ROUND(MOD(Q46, (18*0.95)), 2)</f>
        <v/>
      </c>
      <c r="T46" s="18">
        <f>IF(S46&gt;0, ROUNDUP(S46/(5*0.95), 0), 0)</f>
        <v/>
      </c>
      <c r="U46" s="18">
        <f>R46+T46</f>
        <v/>
      </c>
      <c r="V46" s="18">
        <f>ROUND(R46*70%, 0)</f>
        <v/>
      </c>
      <c r="W46" s="18">
        <f>MIN(ROUNDUP(R46*0.2, 0), MAX(0, R46 - V46))</f>
        <v/>
      </c>
      <c r="X46" s="17">
        <f>IF(C46&gt;20, "Hủy slot (Mưa &gt; 20mm)", "Kích hoạt")</f>
        <v/>
      </c>
      <c r="Y46" s="18">
        <f>IF(C46&gt;20, 0, W46)</f>
        <v/>
      </c>
      <c r="Z46" s="18">
        <f>IF(C46&gt;20, W46*0.2*AF46, 0)</f>
        <v/>
      </c>
      <c r="AA46" s="18">
        <f>MAX(0, J46 - V46 - Y46)</f>
        <v/>
      </c>
      <c r="AB46" s="18">
        <f>L46</f>
        <v/>
      </c>
      <c r="AC46" s="18">
        <f>V46 + Y46 + AA46</f>
        <v/>
      </c>
      <c r="AD46" s="18">
        <f>AC46 + AB46</f>
        <v/>
      </c>
      <c r="AE46" s="18" t="n">
        <v>9</v>
      </c>
      <c r="AF46" s="18">
        <f>IF(OR(B46&gt;=34, F46=1), 11700000, 9000000)</f>
        <v/>
      </c>
      <c r="AG46" s="18">
        <f>IF(OR(B46&gt;=34, F46=1), 4550000, 3500000)</f>
        <v/>
      </c>
      <c r="AH46" s="18" t="n">
        <v>0.02</v>
      </c>
      <c r="AI46" s="18">
        <f>AVERAGE(J43:J45)</f>
        <v/>
      </c>
      <c r="AJ46" s="18">
        <f>ABS(J46 - AI46)</f>
        <v/>
      </c>
      <c r="AK46" s="18">
        <f>IF(AI46="", 0, IF(AI46&gt;J46, (AI46-J46)*2700000, 0))</f>
        <v/>
      </c>
      <c r="AL46" s="18">
        <f>IF(AI46="", 0, IF(J46&gt;AI46, (J46-AI46)*6000000, 0))</f>
        <v/>
      </c>
      <c r="AM46" s="18">
        <f>AK46 + AL46</f>
        <v/>
      </c>
      <c r="AN46" s="18">
        <f>ABS(AC46 - J46)</f>
        <v/>
      </c>
      <c r="AO46" s="18">
        <f>IF(AC46&gt;J46, (AC46-J46)*2700000, 0)</f>
        <v/>
      </c>
      <c r="AP46" s="18">
        <f>IF(J46&gt;AC46, (J46-AC46)*6000000, 0)</f>
        <v/>
      </c>
      <c r="AQ46" s="18">
        <f>AO46 + AP46 + Z46</f>
        <v/>
      </c>
    </row>
    <row r="47">
      <c r="A47" s="17" t="inlineStr">
        <is>
          <t>Ngày 45 (14/06)</t>
        </is>
      </c>
      <c r="B47" s="18" t="n">
        <v>37.8</v>
      </c>
      <c r="C47" s="18" t="n">
        <v>0</v>
      </c>
      <c r="D47" s="18" t="n">
        <v>0.73</v>
      </c>
      <c r="E47" s="18" t="n">
        <v>710.8</v>
      </c>
      <c r="F47" s="18" t="n">
        <v>0</v>
      </c>
      <c r="G47" s="18" t="n">
        <v>735.9</v>
      </c>
      <c r="H47" s="18">
        <f>G47*IF(F47=1, 0.85, 0.8)</f>
        <v/>
      </c>
      <c r="I47" s="17" t="inlineStr">
        <is>
          <t>2-4</t>
        </is>
      </c>
      <c r="J47" s="18">
        <f>INT(H47/(18*0.95))</f>
        <v/>
      </c>
      <c r="K47" s="18">
        <f>ROUND(MOD(H47, (18*0.95)), 2)</f>
        <v/>
      </c>
      <c r="L47" s="18">
        <f>IF(K47&gt;0, ROUNDUP(K47/(5*0.95), 0), 0)</f>
        <v/>
      </c>
      <c r="M47" s="18">
        <f>J47+L47</f>
        <v/>
      </c>
      <c r="N47" s="18">
        <f>ROUND(TREND(G$3:G$94, E$3:E$94, E47), 1)</f>
        <v/>
      </c>
      <c r="O47" s="18">
        <f>ROUND(TREND(G$3:G$94, B$3:E$94, B47:E47), 1)</f>
        <v/>
      </c>
      <c r="P47" s="18">
        <f>ROUND(TREND(G$3:G$94, B$3:F$94, B47:F47), 1)</f>
        <v/>
      </c>
      <c r="Q47" s="18">
        <f>P47*IF(F47=1, 0.85, 0.8)</f>
        <v/>
      </c>
      <c r="R47" s="18">
        <f>INT(Q47/(18*0.95))</f>
        <v/>
      </c>
      <c r="S47" s="18">
        <f>ROUND(MOD(Q47, (18*0.95)), 2)</f>
        <v/>
      </c>
      <c r="T47" s="18">
        <f>IF(S47&gt;0, ROUNDUP(S47/(5*0.95), 0), 0)</f>
        <v/>
      </c>
      <c r="U47" s="18">
        <f>R47+T47</f>
        <v/>
      </c>
      <c r="V47" s="18">
        <f>ROUND(R47*70%, 0)</f>
        <v/>
      </c>
      <c r="W47" s="18">
        <f>MIN(ROUNDUP(R47*0.2, 0), MAX(0, R47 - V47))</f>
        <v/>
      </c>
      <c r="X47" s="17">
        <f>IF(C47&gt;20, "Hủy slot (Mưa &gt; 20mm)", "Kích hoạt")</f>
        <v/>
      </c>
      <c r="Y47" s="18">
        <f>IF(C47&gt;20, 0, W47)</f>
        <v/>
      </c>
      <c r="Z47" s="18">
        <f>IF(C47&gt;20, W47*0.2*AF47, 0)</f>
        <v/>
      </c>
      <c r="AA47" s="18">
        <f>MAX(0, J47 - V47 - Y47)</f>
        <v/>
      </c>
      <c r="AB47" s="18">
        <f>L47</f>
        <v/>
      </c>
      <c r="AC47" s="18">
        <f>V47 + Y47 + AA47</f>
        <v/>
      </c>
      <c r="AD47" s="18">
        <f>AC47 + AB47</f>
        <v/>
      </c>
      <c r="AE47" s="18" t="n">
        <v>9</v>
      </c>
      <c r="AF47" s="18">
        <f>IF(OR(B47&gt;=34, F47=1), 11700000, 9000000)</f>
        <v/>
      </c>
      <c r="AG47" s="18">
        <f>IF(OR(B47&gt;=34, F47=1), 4550000, 3500000)</f>
        <v/>
      </c>
      <c r="AH47" s="18" t="n">
        <v>0.02</v>
      </c>
      <c r="AI47" s="18">
        <f>AVERAGE(J44:J46)</f>
        <v/>
      </c>
      <c r="AJ47" s="18">
        <f>ABS(J47 - AI47)</f>
        <v/>
      </c>
      <c r="AK47" s="18">
        <f>IF(AI47="", 0, IF(AI47&gt;J47, (AI47-J47)*2700000, 0))</f>
        <v/>
      </c>
      <c r="AL47" s="18">
        <f>IF(AI47="", 0, IF(J47&gt;AI47, (J47-AI47)*6000000, 0))</f>
        <v/>
      </c>
      <c r="AM47" s="18">
        <f>AK47 + AL47</f>
        <v/>
      </c>
      <c r="AN47" s="18">
        <f>ABS(AC47 - J47)</f>
        <v/>
      </c>
      <c r="AO47" s="18">
        <f>IF(AC47&gt;J47, (AC47-J47)*2700000, 0)</f>
        <v/>
      </c>
      <c r="AP47" s="18">
        <f>IF(J47&gt;AC47, (J47-AC47)*6000000, 0)</f>
        <v/>
      </c>
      <c r="AQ47" s="18">
        <f>AO47 + AP47 + Z47</f>
        <v/>
      </c>
    </row>
    <row r="48">
      <c r="A48" s="17" t="inlineStr">
        <is>
          <t>Ngày 46 (15/06)</t>
        </is>
      </c>
      <c r="B48" s="18" t="n">
        <v>34.3</v>
      </c>
      <c r="C48" s="18" t="n">
        <v>0</v>
      </c>
      <c r="D48" s="18" t="n">
        <v>0.75</v>
      </c>
      <c r="E48" s="18" t="n">
        <v>741</v>
      </c>
      <c r="F48" s="18" t="n">
        <v>0</v>
      </c>
      <c r="G48" s="18" t="n">
        <v>691.6</v>
      </c>
      <c r="H48" s="18">
        <f>G48*IF(F48=1, 0.85, 0.8)</f>
        <v/>
      </c>
      <c r="I48" s="17" t="inlineStr">
        <is>
          <t>2-4</t>
        </is>
      </c>
      <c r="J48" s="18">
        <f>INT(H48/(18*0.95))</f>
        <v/>
      </c>
      <c r="K48" s="18">
        <f>ROUND(MOD(H48, (18*0.95)), 2)</f>
        <v/>
      </c>
      <c r="L48" s="18">
        <f>IF(K48&gt;0, ROUNDUP(K48/(5*0.95), 0), 0)</f>
        <v/>
      </c>
      <c r="M48" s="18">
        <f>J48+L48</f>
        <v/>
      </c>
      <c r="N48" s="18">
        <f>ROUND(TREND(G$3:G$94, E$3:E$94, E48), 1)</f>
        <v/>
      </c>
      <c r="O48" s="18">
        <f>ROUND(TREND(G$3:G$94, B$3:E$94, B48:E48), 1)</f>
        <v/>
      </c>
      <c r="P48" s="18">
        <f>ROUND(TREND(G$3:G$94, B$3:F$94, B48:F48), 1)</f>
        <v/>
      </c>
      <c r="Q48" s="18">
        <f>P48*IF(F48=1, 0.85, 0.8)</f>
        <v/>
      </c>
      <c r="R48" s="18">
        <f>INT(Q48/(18*0.95))</f>
        <v/>
      </c>
      <c r="S48" s="18">
        <f>ROUND(MOD(Q48, (18*0.95)), 2)</f>
        <v/>
      </c>
      <c r="T48" s="18">
        <f>IF(S48&gt;0, ROUNDUP(S48/(5*0.95), 0), 0)</f>
        <v/>
      </c>
      <c r="U48" s="18">
        <f>R48+T48</f>
        <v/>
      </c>
      <c r="V48" s="18">
        <f>ROUND(R48*70%, 0)</f>
        <v/>
      </c>
      <c r="W48" s="18">
        <f>MIN(ROUNDUP(R48*0.2, 0), MAX(0, R48 - V48))</f>
        <v/>
      </c>
      <c r="X48" s="17">
        <f>IF(C48&gt;20, "Hủy slot (Mưa &gt; 20mm)", "Kích hoạt")</f>
        <v/>
      </c>
      <c r="Y48" s="18">
        <f>IF(C48&gt;20, 0, W48)</f>
        <v/>
      </c>
      <c r="Z48" s="18">
        <f>IF(C48&gt;20, W48*0.2*AF48, 0)</f>
        <v/>
      </c>
      <c r="AA48" s="18">
        <f>MAX(0, J48 - V48 - Y48)</f>
        <v/>
      </c>
      <c r="AB48" s="18">
        <f>L48</f>
        <v/>
      </c>
      <c r="AC48" s="18">
        <f>V48 + Y48 + AA48</f>
        <v/>
      </c>
      <c r="AD48" s="18">
        <f>AC48 + AB48</f>
        <v/>
      </c>
      <c r="AE48" s="18" t="n">
        <v>9</v>
      </c>
      <c r="AF48" s="18">
        <f>IF(OR(B48&gt;=34, F48=1), 11700000, 9000000)</f>
        <v/>
      </c>
      <c r="AG48" s="18">
        <f>IF(OR(B48&gt;=34, F48=1), 4550000, 3500000)</f>
        <v/>
      </c>
      <c r="AH48" s="18" t="n">
        <v>0.02</v>
      </c>
      <c r="AI48" s="18">
        <f>AVERAGE(J45:J47)</f>
        <v/>
      </c>
      <c r="AJ48" s="18">
        <f>ABS(J48 - AI48)</f>
        <v/>
      </c>
      <c r="AK48" s="18">
        <f>IF(AI48="", 0, IF(AI48&gt;J48, (AI48-J48)*2700000, 0))</f>
        <v/>
      </c>
      <c r="AL48" s="18">
        <f>IF(AI48="", 0, IF(J48&gt;AI48, (J48-AI48)*6000000, 0))</f>
        <v/>
      </c>
      <c r="AM48" s="18">
        <f>AK48 + AL48</f>
        <v/>
      </c>
      <c r="AN48" s="18">
        <f>ABS(AC48 - J48)</f>
        <v/>
      </c>
      <c r="AO48" s="18">
        <f>IF(AC48&gt;J48, (AC48-J48)*2700000, 0)</f>
        <v/>
      </c>
      <c r="AP48" s="18">
        <f>IF(J48&gt;AC48, (J48-AC48)*6000000, 0)</f>
        <v/>
      </c>
      <c r="AQ48" s="18">
        <f>AO48 + AP48 + Z48</f>
        <v/>
      </c>
    </row>
    <row r="49">
      <c r="A49" s="17" t="inlineStr">
        <is>
          <t>Ngày 47 (16/06)</t>
        </is>
      </c>
      <c r="B49" s="18" t="n">
        <v>30</v>
      </c>
      <c r="C49" s="18" t="n">
        <v>65</v>
      </c>
      <c r="D49" s="18" t="n">
        <v>0.77</v>
      </c>
      <c r="E49" s="18" t="n">
        <v>662.4</v>
      </c>
      <c r="F49" s="18" t="n">
        <v>0</v>
      </c>
      <c r="G49" s="18" t="n">
        <v>170.8</v>
      </c>
      <c r="H49" s="18">
        <f>G49*IF(F49=1, 0.85, 0.8)</f>
        <v/>
      </c>
      <c r="I49" s="17" t="inlineStr">
        <is>
          <t>2-4</t>
        </is>
      </c>
      <c r="J49" s="18">
        <f>INT(H49/(18*0.95))</f>
        <v/>
      </c>
      <c r="K49" s="18">
        <f>ROUND(MOD(H49, (18*0.95)), 2)</f>
        <v/>
      </c>
      <c r="L49" s="18">
        <f>IF(K49&gt;0, ROUNDUP(K49/(5*0.95), 0), 0)</f>
        <v/>
      </c>
      <c r="M49" s="18">
        <f>J49+L49</f>
        <v/>
      </c>
      <c r="N49" s="18">
        <f>ROUND(TREND(G$3:G$94, E$3:E$94, E49), 1)</f>
        <v/>
      </c>
      <c r="O49" s="18">
        <f>ROUND(TREND(G$3:G$94, B$3:E$94, B49:E49), 1)</f>
        <v/>
      </c>
      <c r="P49" s="18">
        <f>ROUND(TREND(G$3:G$94, B$3:F$94, B49:F49), 1)</f>
        <v/>
      </c>
      <c r="Q49" s="18">
        <f>P49*IF(F49=1, 0.85, 0.8)</f>
        <v/>
      </c>
      <c r="R49" s="18">
        <f>INT(Q49/(18*0.95))</f>
        <v/>
      </c>
      <c r="S49" s="18">
        <f>ROUND(MOD(Q49, (18*0.95)), 2)</f>
        <v/>
      </c>
      <c r="T49" s="18">
        <f>IF(S49&gt;0, ROUNDUP(S49/(5*0.95), 0), 0)</f>
        <v/>
      </c>
      <c r="U49" s="18">
        <f>R49+T49</f>
        <v/>
      </c>
      <c r="V49" s="18">
        <f>ROUND(R49*70%, 0)</f>
        <v/>
      </c>
      <c r="W49" s="18">
        <f>MIN(ROUNDUP(R49*0.2, 0), MAX(0, R49 - V49))</f>
        <v/>
      </c>
      <c r="X49" s="17">
        <f>IF(C49&gt;20, "Hủy slot (Mưa &gt; 20mm)", "Kích hoạt")</f>
        <v/>
      </c>
      <c r="Y49" s="18">
        <f>IF(C49&gt;20, 0, W49)</f>
        <v/>
      </c>
      <c r="Z49" s="18">
        <f>IF(C49&gt;20, W49*0.2*AF49, 0)</f>
        <v/>
      </c>
      <c r="AA49" s="18">
        <f>MAX(0, J49 - V49 - Y49)</f>
        <v/>
      </c>
      <c r="AB49" s="18">
        <f>L49</f>
        <v/>
      </c>
      <c r="AC49" s="18">
        <f>V49 + Y49 + AA49</f>
        <v/>
      </c>
      <c r="AD49" s="18">
        <f>AC49 + AB49</f>
        <v/>
      </c>
      <c r="AE49" s="18" t="n">
        <v>9</v>
      </c>
      <c r="AF49" s="18">
        <f>IF(OR(B49&gt;=34, F49=1), 11700000, 9000000)</f>
        <v/>
      </c>
      <c r="AG49" s="18">
        <f>IF(OR(B49&gt;=34, F49=1), 4550000, 3500000)</f>
        <v/>
      </c>
      <c r="AH49" s="18" t="n">
        <v>0.02</v>
      </c>
      <c r="AI49" s="18">
        <f>AVERAGE(J46:J48)</f>
        <v/>
      </c>
      <c r="AJ49" s="18">
        <f>ABS(J49 - AI49)</f>
        <v/>
      </c>
      <c r="AK49" s="18">
        <f>IF(AI49="", 0, IF(AI49&gt;J49, (AI49-J49)*2700000, 0))</f>
        <v/>
      </c>
      <c r="AL49" s="18">
        <f>IF(AI49="", 0, IF(J49&gt;AI49, (J49-AI49)*6000000, 0))</f>
        <v/>
      </c>
      <c r="AM49" s="18">
        <f>AK49 + AL49</f>
        <v/>
      </c>
      <c r="AN49" s="18">
        <f>ABS(AC49 - J49)</f>
        <v/>
      </c>
      <c r="AO49" s="18">
        <f>IF(AC49&gt;J49, (AC49-J49)*2700000, 0)</f>
        <v/>
      </c>
      <c r="AP49" s="18">
        <f>IF(J49&gt;AC49, (J49-AC49)*6000000, 0)</f>
        <v/>
      </c>
      <c r="AQ49" s="18">
        <f>AO49 + AP49 + Z49</f>
        <v/>
      </c>
    </row>
    <row r="50">
      <c r="A50" s="17" t="inlineStr">
        <is>
          <t>Ngày 48 (17/06)</t>
        </is>
      </c>
      <c r="B50" s="18" t="n">
        <v>34.7</v>
      </c>
      <c r="C50" s="18" t="n">
        <v>0</v>
      </c>
      <c r="D50" s="18" t="n">
        <v>0.78</v>
      </c>
      <c r="E50" s="18" t="n">
        <v>624.8</v>
      </c>
      <c r="F50" s="18" t="n">
        <v>0</v>
      </c>
      <c r="G50" s="18" t="n">
        <v>709.6</v>
      </c>
      <c r="H50" s="18">
        <f>G50*IF(F50=1, 0.85, 0.8)</f>
        <v/>
      </c>
      <c r="I50" s="17" t="inlineStr">
        <is>
          <t>2-4</t>
        </is>
      </c>
      <c r="J50" s="18">
        <f>INT(H50/(18*0.95))</f>
        <v/>
      </c>
      <c r="K50" s="18">
        <f>ROUND(MOD(H50, (18*0.95)), 2)</f>
        <v/>
      </c>
      <c r="L50" s="18">
        <f>IF(K50&gt;0, ROUNDUP(K50/(5*0.95), 0), 0)</f>
        <v/>
      </c>
      <c r="M50" s="18">
        <f>J50+L50</f>
        <v/>
      </c>
      <c r="N50" s="18">
        <f>ROUND(TREND(G$3:G$94, E$3:E$94, E50), 1)</f>
        <v/>
      </c>
      <c r="O50" s="18">
        <f>ROUND(TREND(G$3:G$94, B$3:E$94, B50:E50), 1)</f>
        <v/>
      </c>
      <c r="P50" s="18">
        <f>ROUND(TREND(G$3:G$94, B$3:F$94, B50:F50), 1)</f>
        <v/>
      </c>
      <c r="Q50" s="18">
        <f>P50*IF(F50=1, 0.85, 0.8)</f>
        <v/>
      </c>
      <c r="R50" s="18">
        <f>INT(Q50/(18*0.95))</f>
        <v/>
      </c>
      <c r="S50" s="18">
        <f>ROUND(MOD(Q50, (18*0.95)), 2)</f>
        <v/>
      </c>
      <c r="T50" s="18">
        <f>IF(S50&gt;0, ROUNDUP(S50/(5*0.95), 0), 0)</f>
        <v/>
      </c>
      <c r="U50" s="18">
        <f>R50+T50</f>
        <v/>
      </c>
      <c r="V50" s="18">
        <f>ROUND(R50*70%, 0)</f>
        <v/>
      </c>
      <c r="W50" s="18">
        <f>MIN(ROUNDUP(R50*0.2, 0), MAX(0, R50 - V50))</f>
        <v/>
      </c>
      <c r="X50" s="17">
        <f>IF(C50&gt;20, "Hủy slot (Mưa &gt; 20mm)", "Kích hoạt")</f>
        <v/>
      </c>
      <c r="Y50" s="18">
        <f>IF(C50&gt;20, 0, W50)</f>
        <v/>
      </c>
      <c r="Z50" s="18">
        <f>IF(C50&gt;20, W50*0.2*AF50, 0)</f>
        <v/>
      </c>
      <c r="AA50" s="18">
        <f>MAX(0, J50 - V50 - Y50)</f>
        <v/>
      </c>
      <c r="AB50" s="18">
        <f>L50</f>
        <v/>
      </c>
      <c r="AC50" s="18">
        <f>V50 + Y50 + AA50</f>
        <v/>
      </c>
      <c r="AD50" s="18">
        <f>AC50 + AB50</f>
        <v/>
      </c>
      <c r="AE50" s="18" t="n">
        <v>9</v>
      </c>
      <c r="AF50" s="18">
        <f>IF(OR(B50&gt;=34, F50=1), 11700000, 9000000)</f>
        <v/>
      </c>
      <c r="AG50" s="18">
        <f>IF(OR(B50&gt;=34, F50=1), 4550000, 3500000)</f>
        <v/>
      </c>
      <c r="AH50" s="18" t="n">
        <v>0.02</v>
      </c>
      <c r="AI50" s="18">
        <f>AVERAGE(J47:J49)</f>
        <v/>
      </c>
      <c r="AJ50" s="18">
        <f>ABS(J50 - AI50)</f>
        <v/>
      </c>
      <c r="AK50" s="18">
        <f>IF(AI50="", 0, IF(AI50&gt;J50, (AI50-J50)*2700000, 0))</f>
        <v/>
      </c>
      <c r="AL50" s="18">
        <f>IF(AI50="", 0, IF(J50&gt;AI50, (J50-AI50)*6000000, 0))</f>
        <v/>
      </c>
      <c r="AM50" s="18">
        <f>AK50 + AL50</f>
        <v/>
      </c>
      <c r="AN50" s="18">
        <f>ABS(AC50 - J50)</f>
        <v/>
      </c>
      <c r="AO50" s="18">
        <f>IF(AC50&gt;J50, (AC50-J50)*2700000, 0)</f>
        <v/>
      </c>
      <c r="AP50" s="18">
        <f>IF(J50&gt;AC50, (J50-AC50)*6000000, 0)</f>
        <v/>
      </c>
      <c r="AQ50" s="18">
        <f>AO50 + AP50 + Z50</f>
        <v/>
      </c>
    </row>
    <row r="51">
      <c r="A51" s="17" t="inlineStr">
        <is>
          <t>Ngày 49 (18/06)</t>
        </is>
      </c>
      <c r="B51" s="18" t="n">
        <v>33.7</v>
      </c>
      <c r="C51" s="18" t="n">
        <v>0</v>
      </c>
      <c r="D51" s="18" t="n">
        <v>0.8</v>
      </c>
      <c r="E51" s="18" t="n">
        <v>747</v>
      </c>
      <c r="F51" s="18" t="n">
        <v>1</v>
      </c>
      <c r="G51" s="18" t="n">
        <v>777.4</v>
      </c>
      <c r="H51" s="18">
        <f>G51*IF(F51=1, 0.85, 0.8)</f>
        <v/>
      </c>
      <c r="I51" s="17" t="inlineStr">
        <is>
          <t>2-4</t>
        </is>
      </c>
      <c r="J51" s="18">
        <f>INT(H51/(18*0.95))</f>
        <v/>
      </c>
      <c r="K51" s="18">
        <f>ROUND(MOD(H51, (18*0.95)), 2)</f>
        <v/>
      </c>
      <c r="L51" s="18">
        <f>IF(K51&gt;0, ROUNDUP(K51/(5*0.95), 0), 0)</f>
        <v/>
      </c>
      <c r="M51" s="18">
        <f>J51+L51</f>
        <v/>
      </c>
      <c r="N51" s="18">
        <f>ROUND(TREND(G$3:G$94, E$3:E$94, E51), 1)</f>
        <v/>
      </c>
      <c r="O51" s="18">
        <f>ROUND(TREND(G$3:G$94, B$3:E$94, B51:E51), 1)</f>
        <v/>
      </c>
      <c r="P51" s="18">
        <f>ROUND(TREND(G$3:G$94, B$3:F$94, B51:F51), 1)</f>
        <v/>
      </c>
      <c r="Q51" s="18">
        <f>P51*IF(F51=1, 0.85, 0.8)</f>
        <v/>
      </c>
      <c r="R51" s="18">
        <f>INT(Q51/(18*0.95))</f>
        <v/>
      </c>
      <c r="S51" s="18">
        <f>ROUND(MOD(Q51, (18*0.95)), 2)</f>
        <v/>
      </c>
      <c r="T51" s="18">
        <f>IF(S51&gt;0, ROUNDUP(S51/(5*0.95), 0), 0)</f>
        <v/>
      </c>
      <c r="U51" s="18">
        <f>R51+T51</f>
        <v/>
      </c>
      <c r="V51" s="18">
        <f>ROUND(R51*70%, 0)</f>
        <v/>
      </c>
      <c r="W51" s="18">
        <f>MIN(ROUNDUP(R51*0.2, 0), MAX(0, R51 - V51))</f>
        <v/>
      </c>
      <c r="X51" s="17">
        <f>IF(C51&gt;20, "Hủy slot (Mưa &gt; 20mm)", "Kích hoạt")</f>
        <v/>
      </c>
      <c r="Y51" s="18">
        <f>IF(C51&gt;20, 0, W51)</f>
        <v/>
      </c>
      <c r="Z51" s="18">
        <f>IF(C51&gt;20, W51*0.2*AF51, 0)</f>
        <v/>
      </c>
      <c r="AA51" s="18">
        <f>MAX(0, J51 - V51 - Y51)</f>
        <v/>
      </c>
      <c r="AB51" s="18">
        <f>L51</f>
        <v/>
      </c>
      <c r="AC51" s="18">
        <f>V51 + Y51 + AA51</f>
        <v/>
      </c>
      <c r="AD51" s="18">
        <f>AC51 + AB51</f>
        <v/>
      </c>
      <c r="AE51" s="18" t="n">
        <v>9</v>
      </c>
      <c r="AF51" s="18">
        <f>IF(OR(B51&gt;=34, F51=1), 11700000, 9000000)</f>
        <v/>
      </c>
      <c r="AG51" s="18">
        <f>IF(OR(B51&gt;=34, F51=1), 4550000, 3500000)</f>
        <v/>
      </c>
      <c r="AH51" s="18" t="n">
        <v>0.02</v>
      </c>
      <c r="AI51" s="18">
        <f>AVERAGE(J48:J50)</f>
        <v/>
      </c>
      <c r="AJ51" s="18">
        <f>ABS(J51 - AI51)</f>
        <v/>
      </c>
      <c r="AK51" s="18">
        <f>IF(AI51="", 0, IF(AI51&gt;J51, (AI51-J51)*2700000, 0))</f>
        <v/>
      </c>
      <c r="AL51" s="18">
        <f>IF(AI51="", 0, IF(J51&gt;AI51, (J51-AI51)*6000000, 0))</f>
        <v/>
      </c>
      <c r="AM51" s="18">
        <f>AK51 + AL51</f>
        <v/>
      </c>
      <c r="AN51" s="18">
        <f>ABS(AC51 - J51)</f>
        <v/>
      </c>
      <c r="AO51" s="18">
        <f>IF(AC51&gt;J51, (AC51-J51)*2700000, 0)</f>
        <v/>
      </c>
      <c r="AP51" s="18">
        <f>IF(J51&gt;AC51, (J51-AC51)*6000000, 0)</f>
        <v/>
      </c>
      <c r="AQ51" s="18">
        <f>AO51 + AP51 + Z51</f>
        <v/>
      </c>
    </row>
    <row r="52">
      <c r="A52" s="17" t="inlineStr">
        <is>
          <t>Ngày 50 (19/06)</t>
        </is>
      </c>
      <c r="B52" s="18" t="n">
        <v>33.8</v>
      </c>
      <c r="C52" s="18" t="n">
        <v>0</v>
      </c>
      <c r="D52" s="18" t="n">
        <v>0.82</v>
      </c>
      <c r="E52" s="18" t="n">
        <v>694.1</v>
      </c>
      <c r="F52" s="18" t="n">
        <v>1</v>
      </c>
      <c r="G52" s="18" t="n">
        <v>711.1</v>
      </c>
      <c r="H52" s="18">
        <f>G52*IF(F52=1, 0.85, 0.8)</f>
        <v/>
      </c>
      <c r="I52" s="17" t="inlineStr">
        <is>
          <t>2-4</t>
        </is>
      </c>
      <c r="J52" s="18">
        <f>INT(H52/(18*0.95))</f>
        <v/>
      </c>
      <c r="K52" s="18">
        <f>ROUND(MOD(H52, (18*0.95)), 2)</f>
        <v/>
      </c>
      <c r="L52" s="18">
        <f>IF(K52&gt;0, ROUNDUP(K52/(5*0.95), 0), 0)</f>
        <v/>
      </c>
      <c r="M52" s="18">
        <f>J52+L52</f>
        <v/>
      </c>
      <c r="N52" s="18">
        <f>ROUND(TREND(G$3:G$94, E$3:E$94, E52), 1)</f>
        <v/>
      </c>
      <c r="O52" s="18">
        <f>ROUND(TREND(G$3:G$94, B$3:E$94, B52:E52), 1)</f>
        <v/>
      </c>
      <c r="P52" s="18">
        <f>ROUND(TREND(G$3:G$94, B$3:F$94, B52:F52), 1)</f>
        <v/>
      </c>
      <c r="Q52" s="18">
        <f>P52*IF(F52=1, 0.85, 0.8)</f>
        <v/>
      </c>
      <c r="R52" s="18">
        <f>INT(Q52/(18*0.95))</f>
        <v/>
      </c>
      <c r="S52" s="18">
        <f>ROUND(MOD(Q52, (18*0.95)), 2)</f>
        <v/>
      </c>
      <c r="T52" s="18">
        <f>IF(S52&gt;0, ROUNDUP(S52/(5*0.95), 0), 0)</f>
        <v/>
      </c>
      <c r="U52" s="18">
        <f>R52+T52</f>
        <v/>
      </c>
      <c r="V52" s="18">
        <f>ROUND(R52*70%, 0)</f>
        <v/>
      </c>
      <c r="W52" s="18">
        <f>MIN(ROUNDUP(R52*0.2, 0), MAX(0, R52 - V52))</f>
        <v/>
      </c>
      <c r="X52" s="17">
        <f>IF(C52&gt;20, "Hủy slot (Mưa &gt; 20mm)", "Kích hoạt")</f>
        <v/>
      </c>
      <c r="Y52" s="18">
        <f>IF(C52&gt;20, 0, W52)</f>
        <v/>
      </c>
      <c r="Z52" s="18">
        <f>IF(C52&gt;20, W52*0.2*AF52, 0)</f>
        <v/>
      </c>
      <c r="AA52" s="18">
        <f>MAX(0, J52 - V52 - Y52)</f>
        <v/>
      </c>
      <c r="AB52" s="18">
        <f>L52</f>
        <v/>
      </c>
      <c r="AC52" s="18">
        <f>V52 + Y52 + AA52</f>
        <v/>
      </c>
      <c r="AD52" s="18">
        <f>AC52 + AB52</f>
        <v/>
      </c>
      <c r="AE52" s="18" t="n">
        <v>9</v>
      </c>
      <c r="AF52" s="18">
        <f>IF(OR(B52&gt;=34, F52=1), 11700000, 9000000)</f>
        <v/>
      </c>
      <c r="AG52" s="18">
        <f>IF(OR(B52&gt;=34, F52=1), 4550000, 3500000)</f>
        <v/>
      </c>
      <c r="AH52" s="18" t="n">
        <v>0.02</v>
      </c>
      <c r="AI52" s="18">
        <f>AVERAGE(J49:J51)</f>
        <v/>
      </c>
      <c r="AJ52" s="18">
        <f>ABS(J52 - AI52)</f>
        <v/>
      </c>
      <c r="AK52" s="18">
        <f>IF(AI52="", 0, IF(AI52&gt;J52, (AI52-J52)*2700000, 0))</f>
        <v/>
      </c>
      <c r="AL52" s="18">
        <f>IF(AI52="", 0, IF(J52&gt;AI52, (J52-AI52)*6000000, 0))</f>
        <v/>
      </c>
      <c r="AM52" s="18">
        <f>AK52 + AL52</f>
        <v/>
      </c>
      <c r="AN52" s="18">
        <f>ABS(AC52 - J52)</f>
        <v/>
      </c>
      <c r="AO52" s="18">
        <f>IF(AC52&gt;J52, (AC52-J52)*2700000, 0)</f>
        <v/>
      </c>
      <c r="AP52" s="18">
        <f>IF(J52&gt;AC52, (J52-AC52)*6000000, 0)</f>
        <v/>
      </c>
      <c r="AQ52" s="18">
        <f>AO52 + AP52 + Z52</f>
        <v/>
      </c>
    </row>
    <row r="53">
      <c r="A53" s="17" t="inlineStr">
        <is>
          <t>Ngày 51 (20/06)</t>
        </is>
      </c>
      <c r="B53" s="18" t="n">
        <v>37.9</v>
      </c>
      <c r="C53" s="18" t="n">
        <v>25</v>
      </c>
      <c r="D53" s="18" t="n">
        <v>0.83</v>
      </c>
      <c r="E53" s="18" t="n">
        <v>647.8</v>
      </c>
      <c r="F53" s="18" t="n">
        <v>0</v>
      </c>
      <c r="G53" s="18" t="n">
        <v>361.2</v>
      </c>
      <c r="H53" s="18">
        <f>G53*IF(F53=1, 0.85, 0.8)</f>
        <v/>
      </c>
      <c r="I53" s="17" t="inlineStr">
        <is>
          <t>2-4</t>
        </is>
      </c>
      <c r="J53" s="18">
        <f>INT(H53/(18*0.95))</f>
        <v/>
      </c>
      <c r="K53" s="18">
        <f>ROUND(MOD(H53, (18*0.95)), 2)</f>
        <v/>
      </c>
      <c r="L53" s="18">
        <f>IF(K53&gt;0, ROUNDUP(K53/(5*0.95), 0), 0)</f>
        <v/>
      </c>
      <c r="M53" s="18">
        <f>J53+L53</f>
        <v/>
      </c>
      <c r="N53" s="18">
        <f>ROUND(TREND(G$3:G$94, E$3:E$94, E53), 1)</f>
        <v/>
      </c>
      <c r="O53" s="18">
        <f>ROUND(TREND(G$3:G$94, B$3:E$94, B53:E53), 1)</f>
        <v/>
      </c>
      <c r="P53" s="18">
        <f>ROUND(TREND(G$3:G$94, B$3:F$94, B53:F53), 1)</f>
        <v/>
      </c>
      <c r="Q53" s="18">
        <f>P53*IF(F53=1, 0.85, 0.8)</f>
        <v/>
      </c>
      <c r="R53" s="18">
        <f>INT(Q53/(18*0.95))</f>
        <v/>
      </c>
      <c r="S53" s="18">
        <f>ROUND(MOD(Q53, (18*0.95)), 2)</f>
        <v/>
      </c>
      <c r="T53" s="18">
        <f>IF(S53&gt;0, ROUNDUP(S53/(5*0.95), 0), 0)</f>
        <v/>
      </c>
      <c r="U53" s="18">
        <f>R53+T53</f>
        <v/>
      </c>
      <c r="V53" s="18">
        <f>ROUND(R53*70%, 0)</f>
        <v/>
      </c>
      <c r="W53" s="18">
        <f>MIN(ROUNDUP(R53*0.2, 0), MAX(0, R53 - V53))</f>
        <v/>
      </c>
      <c r="X53" s="17">
        <f>IF(C53&gt;20, "Hủy slot (Mưa &gt; 20mm)", "Kích hoạt")</f>
        <v/>
      </c>
      <c r="Y53" s="18">
        <f>IF(C53&gt;20, 0, W53)</f>
        <v/>
      </c>
      <c r="Z53" s="18">
        <f>IF(C53&gt;20, W53*0.2*AF53, 0)</f>
        <v/>
      </c>
      <c r="AA53" s="18">
        <f>MAX(0, J53 - V53 - Y53)</f>
        <v/>
      </c>
      <c r="AB53" s="18">
        <f>L53</f>
        <v/>
      </c>
      <c r="AC53" s="18">
        <f>V53 + Y53 + AA53</f>
        <v/>
      </c>
      <c r="AD53" s="18">
        <f>AC53 + AB53</f>
        <v/>
      </c>
      <c r="AE53" s="18" t="n">
        <v>9</v>
      </c>
      <c r="AF53" s="18">
        <f>IF(OR(B53&gt;=34, F53=1), 11700000, 9000000)</f>
        <v/>
      </c>
      <c r="AG53" s="18">
        <f>IF(OR(B53&gt;=34, F53=1), 4550000, 3500000)</f>
        <v/>
      </c>
      <c r="AH53" s="18" t="n">
        <v>0.02</v>
      </c>
      <c r="AI53" s="18">
        <f>AVERAGE(J50:J52)</f>
        <v/>
      </c>
      <c r="AJ53" s="18">
        <f>ABS(J53 - AI53)</f>
        <v/>
      </c>
      <c r="AK53" s="18">
        <f>IF(AI53="", 0, IF(AI53&gt;J53, (AI53-J53)*2700000, 0))</f>
        <v/>
      </c>
      <c r="AL53" s="18">
        <f>IF(AI53="", 0, IF(J53&gt;AI53, (J53-AI53)*6000000, 0))</f>
        <v/>
      </c>
      <c r="AM53" s="18">
        <f>AK53 + AL53</f>
        <v/>
      </c>
      <c r="AN53" s="18">
        <f>ABS(AC53 - J53)</f>
        <v/>
      </c>
      <c r="AO53" s="18">
        <f>IF(AC53&gt;J53, (AC53-J53)*2700000, 0)</f>
        <v/>
      </c>
      <c r="AP53" s="18">
        <f>IF(J53&gt;AC53, (J53-AC53)*6000000, 0)</f>
        <v/>
      </c>
      <c r="AQ53" s="18">
        <f>AO53 + AP53 + Z53</f>
        <v/>
      </c>
    </row>
    <row r="54">
      <c r="A54" s="17" t="inlineStr">
        <is>
          <t>Ngày 52 (21/06)</t>
        </is>
      </c>
      <c r="B54" s="18" t="n">
        <v>35.3</v>
      </c>
      <c r="C54" s="18" t="n">
        <v>0</v>
      </c>
      <c r="D54" s="18" t="n">
        <v>0.85</v>
      </c>
      <c r="E54" s="18" t="n">
        <v>622</v>
      </c>
      <c r="F54" s="18" t="n">
        <v>0</v>
      </c>
      <c r="G54" s="18" t="n">
        <v>697.9</v>
      </c>
      <c r="H54" s="18">
        <f>G54*IF(F54=1, 0.85, 0.8)</f>
        <v/>
      </c>
      <c r="I54" s="17" t="inlineStr">
        <is>
          <t>2-4</t>
        </is>
      </c>
      <c r="J54" s="18">
        <f>INT(H54/(18*0.95))</f>
        <v/>
      </c>
      <c r="K54" s="18">
        <f>ROUND(MOD(H54, (18*0.95)), 2)</f>
        <v/>
      </c>
      <c r="L54" s="18">
        <f>IF(K54&gt;0, ROUNDUP(K54/(5*0.95), 0), 0)</f>
        <v/>
      </c>
      <c r="M54" s="18">
        <f>J54+L54</f>
        <v/>
      </c>
      <c r="N54" s="18">
        <f>ROUND(TREND(G$3:G$94, E$3:E$94, E54), 1)</f>
        <v/>
      </c>
      <c r="O54" s="18">
        <f>ROUND(TREND(G$3:G$94, B$3:E$94, B54:E54), 1)</f>
        <v/>
      </c>
      <c r="P54" s="18">
        <f>ROUND(TREND(G$3:G$94, B$3:F$94, B54:F54), 1)</f>
        <v/>
      </c>
      <c r="Q54" s="18">
        <f>P54*IF(F54=1, 0.85, 0.8)</f>
        <v/>
      </c>
      <c r="R54" s="18">
        <f>INT(Q54/(18*0.95))</f>
        <v/>
      </c>
      <c r="S54" s="18">
        <f>ROUND(MOD(Q54, (18*0.95)), 2)</f>
        <v/>
      </c>
      <c r="T54" s="18">
        <f>IF(S54&gt;0, ROUNDUP(S54/(5*0.95), 0), 0)</f>
        <v/>
      </c>
      <c r="U54" s="18">
        <f>R54+T54</f>
        <v/>
      </c>
      <c r="V54" s="18">
        <f>ROUND(R54*70%, 0)</f>
        <v/>
      </c>
      <c r="W54" s="18">
        <f>MIN(ROUNDUP(R54*0.2, 0), MAX(0, R54 - V54))</f>
        <v/>
      </c>
      <c r="X54" s="17">
        <f>IF(C54&gt;20, "Hủy slot (Mưa &gt; 20mm)", "Kích hoạt")</f>
        <v/>
      </c>
      <c r="Y54" s="18">
        <f>IF(C54&gt;20, 0, W54)</f>
        <v/>
      </c>
      <c r="Z54" s="18">
        <f>IF(C54&gt;20, W54*0.2*AF54, 0)</f>
        <v/>
      </c>
      <c r="AA54" s="18">
        <f>MAX(0, J54 - V54 - Y54)</f>
        <v/>
      </c>
      <c r="AB54" s="18">
        <f>L54</f>
        <v/>
      </c>
      <c r="AC54" s="18">
        <f>V54 + Y54 + AA54</f>
        <v/>
      </c>
      <c r="AD54" s="18">
        <f>AC54 + AB54</f>
        <v/>
      </c>
      <c r="AE54" s="18" t="n">
        <v>9</v>
      </c>
      <c r="AF54" s="18">
        <f>IF(OR(B54&gt;=34, F54=1), 11700000, 9000000)</f>
        <v/>
      </c>
      <c r="AG54" s="18">
        <f>IF(OR(B54&gt;=34, F54=1), 4550000, 3500000)</f>
        <v/>
      </c>
      <c r="AH54" s="18" t="n">
        <v>0.02</v>
      </c>
      <c r="AI54" s="18">
        <f>AVERAGE(J51:J53)</f>
        <v/>
      </c>
      <c r="AJ54" s="18">
        <f>ABS(J54 - AI54)</f>
        <v/>
      </c>
      <c r="AK54" s="18">
        <f>IF(AI54="", 0, IF(AI54&gt;J54, (AI54-J54)*2700000, 0))</f>
        <v/>
      </c>
      <c r="AL54" s="18">
        <f>IF(AI54="", 0, IF(J54&gt;AI54, (J54-AI54)*6000000, 0))</f>
        <v/>
      </c>
      <c r="AM54" s="18">
        <f>AK54 + AL54</f>
        <v/>
      </c>
      <c r="AN54" s="18">
        <f>ABS(AC54 - J54)</f>
        <v/>
      </c>
      <c r="AO54" s="18">
        <f>IF(AC54&gt;J54, (AC54-J54)*2700000, 0)</f>
        <v/>
      </c>
      <c r="AP54" s="18">
        <f>IF(J54&gt;AC54, (J54-AC54)*6000000, 0)</f>
        <v/>
      </c>
      <c r="AQ54" s="18">
        <f>AO54 + AP54 + Z54</f>
        <v/>
      </c>
    </row>
    <row r="55">
      <c r="A55" s="17" t="inlineStr">
        <is>
          <t>Ngày 53 (22/06)</t>
        </is>
      </c>
      <c r="B55" s="18" t="n">
        <v>35.9</v>
      </c>
      <c r="C55" s="18" t="n">
        <v>0</v>
      </c>
      <c r="D55" s="18" t="n">
        <v>0.87</v>
      </c>
      <c r="E55" s="18" t="n">
        <v>618.8</v>
      </c>
      <c r="F55" s="18" t="n">
        <v>0</v>
      </c>
      <c r="G55" s="18" t="n">
        <v>689.3</v>
      </c>
      <c r="H55" s="18">
        <f>G55*IF(F55=1, 0.85, 0.8)</f>
        <v/>
      </c>
      <c r="I55" s="17" t="inlineStr">
        <is>
          <t>2-4</t>
        </is>
      </c>
      <c r="J55" s="18">
        <f>INT(H55/(18*0.95))</f>
        <v/>
      </c>
      <c r="K55" s="18">
        <f>ROUND(MOD(H55, (18*0.95)), 2)</f>
        <v/>
      </c>
      <c r="L55" s="18">
        <f>IF(K55&gt;0, ROUNDUP(K55/(5*0.95), 0), 0)</f>
        <v/>
      </c>
      <c r="M55" s="18">
        <f>J55+L55</f>
        <v/>
      </c>
      <c r="N55" s="18">
        <f>ROUND(TREND(G$3:G$94, E$3:E$94, E55), 1)</f>
        <v/>
      </c>
      <c r="O55" s="18">
        <f>ROUND(TREND(G$3:G$94, B$3:E$94, B55:E55), 1)</f>
        <v/>
      </c>
      <c r="P55" s="18">
        <f>ROUND(TREND(G$3:G$94, B$3:F$94, B55:F55), 1)</f>
        <v/>
      </c>
      <c r="Q55" s="18">
        <f>P55*IF(F55=1, 0.85, 0.8)</f>
        <v/>
      </c>
      <c r="R55" s="18">
        <f>INT(Q55/(18*0.95))</f>
        <v/>
      </c>
      <c r="S55" s="18">
        <f>ROUND(MOD(Q55, (18*0.95)), 2)</f>
        <v/>
      </c>
      <c r="T55" s="18">
        <f>IF(S55&gt;0, ROUNDUP(S55/(5*0.95), 0), 0)</f>
        <v/>
      </c>
      <c r="U55" s="18">
        <f>R55+T55</f>
        <v/>
      </c>
      <c r="V55" s="18">
        <f>ROUND(R55*70%, 0)</f>
        <v/>
      </c>
      <c r="W55" s="18">
        <f>MIN(ROUNDUP(R55*0.2, 0), MAX(0, R55 - V55))</f>
        <v/>
      </c>
      <c r="X55" s="17">
        <f>IF(C55&gt;20, "Hủy slot (Mưa &gt; 20mm)", "Kích hoạt")</f>
        <v/>
      </c>
      <c r="Y55" s="18">
        <f>IF(C55&gt;20, 0, W55)</f>
        <v/>
      </c>
      <c r="Z55" s="18">
        <f>IF(C55&gt;20, W55*0.2*AF55, 0)</f>
        <v/>
      </c>
      <c r="AA55" s="18">
        <f>MAX(0, J55 - V55 - Y55)</f>
        <v/>
      </c>
      <c r="AB55" s="18">
        <f>L55</f>
        <v/>
      </c>
      <c r="AC55" s="18">
        <f>V55 + Y55 + AA55</f>
        <v/>
      </c>
      <c r="AD55" s="18">
        <f>AC55 + AB55</f>
        <v/>
      </c>
      <c r="AE55" s="18" t="n">
        <v>9</v>
      </c>
      <c r="AF55" s="18">
        <f>IF(OR(B55&gt;=34, F55=1), 11700000, 9000000)</f>
        <v/>
      </c>
      <c r="AG55" s="18">
        <f>IF(OR(B55&gt;=34, F55=1), 4550000, 3500000)</f>
        <v/>
      </c>
      <c r="AH55" s="18" t="n">
        <v>0.02</v>
      </c>
      <c r="AI55" s="18">
        <f>AVERAGE(J52:J54)</f>
        <v/>
      </c>
      <c r="AJ55" s="18">
        <f>ABS(J55 - AI55)</f>
        <v/>
      </c>
      <c r="AK55" s="18">
        <f>IF(AI55="", 0, IF(AI55&gt;J55, (AI55-J55)*2700000, 0))</f>
        <v/>
      </c>
      <c r="AL55" s="18">
        <f>IF(AI55="", 0, IF(J55&gt;AI55, (J55-AI55)*6000000, 0))</f>
        <v/>
      </c>
      <c r="AM55" s="18">
        <f>AK55 + AL55</f>
        <v/>
      </c>
      <c r="AN55" s="18">
        <f>ABS(AC55 - J55)</f>
        <v/>
      </c>
      <c r="AO55" s="18">
        <f>IF(AC55&gt;J55, (AC55-J55)*2700000, 0)</f>
        <v/>
      </c>
      <c r="AP55" s="18">
        <f>IF(J55&gt;AC55, (J55-AC55)*6000000, 0)</f>
        <v/>
      </c>
      <c r="AQ55" s="18">
        <f>AO55 + AP55 + Z55</f>
        <v/>
      </c>
    </row>
    <row r="56">
      <c r="A56" s="17" t="inlineStr">
        <is>
          <t>Ngày 54 (23/06)</t>
        </is>
      </c>
      <c r="B56" s="18" t="n">
        <v>33.4</v>
      </c>
      <c r="C56" s="18" t="n">
        <v>0</v>
      </c>
      <c r="D56" s="18" t="n">
        <v>0.88</v>
      </c>
      <c r="E56" s="18" t="n">
        <v>644.9</v>
      </c>
      <c r="F56" s="18" t="n">
        <v>0</v>
      </c>
      <c r="G56" s="18" t="n">
        <v>650.1</v>
      </c>
      <c r="H56" s="18">
        <f>G56*IF(F56=1, 0.85, 0.8)</f>
        <v/>
      </c>
      <c r="I56" s="17" t="inlineStr">
        <is>
          <t>2-4</t>
        </is>
      </c>
      <c r="J56" s="18">
        <f>INT(H56/(18*0.95))</f>
        <v/>
      </c>
      <c r="K56" s="18">
        <f>ROUND(MOD(H56, (18*0.95)), 2)</f>
        <v/>
      </c>
      <c r="L56" s="18">
        <f>IF(K56&gt;0, ROUNDUP(K56/(5*0.95), 0), 0)</f>
        <v/>
      </c>
      <c r="M56" s="18">
        <f>J56+L56</f>
        <v/>
      </c>
      <c r="N56" s="18">
        <f>ROUND(TREND(G$3:G$94, E$3:E$94, E56), 1)</f>
        <v/>
      </c>
      <c r="O56" s="18">
        <f>ROUND(TREND(G$3:G$94, B$3:E$94, B56:E56), 1)</f>
        <v/>
      </c>
      <c r="P56" s="18">
        <f>ROUND(TREND(G$3:G$94, B$3:F$94, B56:F56), 1)</f>
        <v/>
      </c>
      <c r="Q56" s="18">
        <f>P56*IF(F56=1, 0.85, 0.8)</f>
        <v/>
      </c>
      <c r="R56" s="18">
        <f>INT(Q56/(18*0.95))</f>
        <v/>
      </c>
      <c r="S56" s="18">
        <f>ROUND(MOD(Q56, (18*0.95)), 2)</f>
        <v/>
      </c>
      <c r="T56" s="18">
        <f>IF(S56&gt;0, ROUNDUP(S56/(5*0.95), 0), 0)</f>
        <v/>
      </c>
      <c r="U56" s="18">
        <f>R56+T56</f>
        <v/>
      </c>
      <c r="V56" s="18">
        <f>ROUND(R56*70%, 0)</f>
        <v/>
      </c>
      <c r="W56" s="18">
        <f>MIN(ROUNDUP(R56*0.2, 0), MAX(0, R56 - V56))</f>
        <v/>
      </c>
      <c r="X56" s="17">
        <f>IF(C56&gt;20, "Hủy slot (Mưa &gt; 20mm)", "Kích hoạt")</f>
        <v/>
      </c>
      <c r="Y56" s="18">
        <f>IF(C56&gt;20, 0, W56)</f>
        <v/>
      </c>
      <c r="Z56" s="18">
        <f>IF(C56&gt;20, W56*0.2*AF56, 0)</f>
        <v/>
      </c>
      <c r="AA56" s="18">
        <f>MAX(0, J56 - V56 - Y56)</f>
        <v/>
      </c>
      <c r="AB56" s="18">
        <f>L56</f>
        <v/>
      </c>
      <c r="AC56" s="18">
        <f>V56 + Y56 + AA56</f>
        <v/>
      </c>
      <c r="AD56" s="18">
        <f>AC56 + AB56</f>
        <v/>
      </c>
      <c r="AE56" s="18" t="n">
        <v>9</v>
      </c>
      <c r="AF56" s="18">
        <f>IF(OR(B56&gt;=34, F56=1), 11700000, 9000000)</f>
        <v/>
      </c>
      <c r="AG56" s="18">
        <f>IF(OR(B56&gt;=34, F56=1), 4550000, 3500000)</f>
        <v/>
      </c>
      <c r="AH56" s="18" t="n">
        <v>0.02</v>
      </c>
      <c r="AI56" s="18">
        <f>AVERAGE(J53:J55)</f>
        <v/>
      </c>
      <c r="AJ56" s="18">
        <f>ABS(J56 - AI56)</f>
        <v/>
      </c>
      <c r="AK56" s="18">
        <f>IF(AI56="", 0, IF(AI56&gt;J56, (AI56-J56)*2700000, 0))</f>
        <v/>
      </c>
      <c r="AL56" s="18">
        <f>IF(AI56="", 0, IF(J56&gt;AI56, (J56-AI56)*6000000, 0))</f>
        <v/>
      </c>
      <c r="AM56" s="18">
        <f>AK56 + AL56</f>
        <v/>
      </c>
      <c r="AN56" s="18">
        <f>ABS(AC56 - J56)</f>
        <v/>
      </c>
      <c r="AO56" s="18">
        <f>IF(AC56&gt;J56, (AC56-J56)*2700000, 0)</f>
        <v/>
      </c>
      <c r="AP56" s="18">
        <f>IF(J56&gt;AC56, (J56-AC56)*6000000, 0)</f>
        <v/>
      </c>
      <c r="AQ56" s="18">
        <f>AO56 + AP56 + Z56</f>
        <v/>
      </c>
    </row>
    <row r="57">
      <c r="A57" s="17" t="inlineStr">
        <is>
          <t>Ngày 55 (24/06)</t>
        </is>
      </c>
      <c r="B57" s="18" t="n">
        <v>33.9</v>
      </c>
      <c r="C57" s="18" t="n">
        <v>0</v>
      </c>
      <c r="D57" s="18" t="n">
        <v>0.9</v>
      </c>
      <c r="E57" s="18" t="n">
        <v>610.8</v>
      </c>
      <c r="F57" s="18" t="n">
        <v>0</v>
      </c>
      <c r="G57" s="18" t="n">
        <v>599.7</v>
      </c>
      <c r="H57" s="18">
        <f>G57*IF(F57=1, 0.85, 0.8)</f>
        <v/>
      </c>
      <c r="I57" s="17" t="inlineStr">
        <is>
          <t>2-4</t>
        </is>
      </c>
      <c r="J57" s="18">
        <f>INT(H57/(18*0.95))</f>
        <v/>
      </c>
      <c r="K57" s="18">
        <f>ROUND(MOD(H57, (18*0.95)), 2)</f>
        <v/>
      </c>
      <c r="L57" s="18">
        <f>IF(K57&gt;0, ROUNDUP(K57/(5*0.95), 0), 0)</f>
        <v/>
      </c>
      <c r="M57" s="18">
        <f>J57+L57</f>
        <v/>
      </c>
      <c r="N57" s="18">
        <f>ROUND(TREND(G$3:G$94, E$3:E$94, E57), 1)</f>
        <v/>
      </c>
      <c r="O57" s="18">
        <f>ROUND(TREND(G$3:G$94, B$3:E$94, B57:E57), 1)</f>
        <v/>
      </c>
      <c r="P57" s="18">
        <f>ROUND(TREND(G$3:G$94, B$3:F$94, B57:F57), 1)</f>
        <v/>
      </c>
      <c r="Q57" s="18">
        <f>P57*IF(F57=1, 0.85, 0.8)</f>
        <v/>
      </c>
      <c r="R57" s="18">
        <f>INT(Q57/(18*0.95))</f>
        <v/>
      </c>
      <c r="S57" s="18">
        <f>ROUND(MOD(Q57, (18*0.95)), 2)</f>
        <v/>
      </c>
      <c r="T57" s="18">
        <f>IF(S57&gt;0, ROUNDUP(S57/(5*0.95), 0), 0)</f>
        <v/>
      </c>
      <c r="U57" s="18">
        <f>R57+T57</f>
        <v/>
      </c>
      <c r="V57" s="18">
        <f>ROUND(R57*70%, 0)</f>
        <v/>
      </c>
      <c r="W57" s="18">
        <f>MIN(ROUNDUP(R57*0.2, 0), MAX(0, R57 - V57))</f>
        <v/>
      </c>
      <c r="X57" s="17">
        <f>IF(C57&gt;20, "Hủy slot (Mưa &gt; 20mm)", "Kích hoạt")</f>
        <v/>
      </c>
      <c r="Y57" s="18">
        <f>IF(C57&gt;20, 0, W57)</f>
        <v/>
      </c>
      <c r="Z57" s="18">
        <f>IF(C57&gt;20, W57*0.2*AF57, 0)</f>
        <v/>
      </c>
      <c r="AA57" s="18">
        <f>MAX(0, J57 - V57 - Y57)</f>
        <v/>
      </c>
      <c r="AB57" s="18">
        <f>L57</f>
        <v/>
      </c>
      <c r="AC57" s="18">
        <f>V57 + Y57 + AA57</f>
        <v/>
      </c>
      <c r="AD57" s="18">
        <f>AC57 + AB57</f>
        <v/>
      </c>
      <c r="AE57" s="18" t="n">
        <v>9</v>
      </c>
      <c r="AF57" s="18">
        <f>IF(OR(B57&gt;=34, F57=1), 11700000, 9000000)</f>
        <v/>
      </c>
      <c r="AG57" s="18">
        <f>IF(OR(B57&gt;=34, F57=1), 4550000, 3500000)</f>
        <v/>
      </c>
      <c r="AH57" s="18" t="n">
        <v>0.02</v>
      </c>
      <c r="AI57" s="18">
        <f>AVERAGE(J54:J56)</f>
        <v/>
      </c>
      <c r="AJ57" s="18">
        <f>ABS(J57 - AI57)</f>
        <v/>
      </c>
      <c r="AK57" s="18">
        <f>IF(AI57="", 0, IF(AI57&gt;J57, (AI57-J57)*2700000, 0))</f>
        <v/>
      </c>
      <c r="AL57" s="18">
        <f>IF(AI57="", 0, IF(J57&gt;AI57, (J57-AI57)*6000000, 0))</f>
        <v/>
      </c>
      <c r="AM57" s="18">
        <f>AK57 + AL57</f>
        <v/>
      </c>
      <c r="AN57" s="18">
        <f>ABS(AC57 - J57)</f>
        <v/>
      </c>
      <c r="AO57" s="18">
        <f>IF(AC57&gt;J57, (AC57-J57)*2700000, 0)</f>
        <v/>
      </c>
      <c r="AP57" s="18">
        <f>IF(J57&gt;AC57, (J57-AC57)*6000000, 0)</f>
        <v/>
      </c>
      <c r="AQ57" s="18">
        <f>AO57 + AP57 + Z57</f>
        <v/>
      </c>
    </row>
    <row r="58">
      <c r="A58" s="17" t="inlineStr">
        <is>
          <t>Ngày 56 (25/06)</t>
        </is>
      </c>
      <c r="B58" s="18" t="n">
        <v>30</v>
      </c>
      <c r="C58" s="18" t="n">
        <v>65</v>
      </c>
      <c r="D58" s="18" t="n">
        <v>0.92</v>
      </c>
      <c r="E58" s="18" t="n">
        <v>750.9</v>
      </c>
      <c r="F58" s="18" t="n">
        <v>1</v>
      </c>
      <c r="G58" s="18" t="n">
        <v>169.3</v>
      </c>
      <c r="H58" s="18">
        <f>G58*IF(F58=1, 0.85, 0.8)</f>
        <v/>
      </c>
      <c r="I58" s="17" t="inlineStr">
        <is>
          <t>2-4</t>
        </is>
      </c>
      <c r="J58" s="18">
        <f>INT(H58/(18*0.95))</f>
        <v/>
      </c>
      <c r="K58" s="18">
        <f>ROUND(MOD(H58, (18*0.95)), 2)</f>
        <v/>
      </c>
      <c r="L58" s="18">
        <f>IF(K58&gt;0, ROUNDUP(K58/(5*0.95), 0), 0)</f>
        <v/>
      </c>
      <c r="M58" s="18">
        <f>J58+L58</f>
        <v/>
      </c>
      <c r="N58" s="18">
        <f>ROUND(TREND(G$3:G$94, E$3:E$94, E58), 1)</f>
        <v/>
      </c>
      <c r="O58" s="18">
        <f>ROUND(TREND(G$3:G$94, B$3:E$94, B58:E58), 1)</f>
        <v/>
      </c>
      <c r="P58" s="18">
        <f>ROUND(TREND(G$3:G$94, B$3:F$94, B58:F58), 1)</f>
        <v/>
      </c>
      <c r="Q58" s="18">
        <f>P58*IF(F58=1, 0.85, 0.8)</f>
        <v/>
      </c>
      <c r="R58" s="18">
        <f>INT(Q58/(18*0.95))</f>
        <v/>
      </c>
      <c r="S58" s="18">
        <f>ROUND(MOD(Q58, (18*0.95)), 2)</f>
        <v/>
      </c>
      <c r="T58" s="18">
        <f>IF(S58&gt;0, ROUNDUP(S58/(5*0.95), 0), 0)</f>
        <v/>
      </c>
      <c r="U58" s="18">
        <f>R58+T58</f>
        <v/>
      </c>
      <c r="V58" s="18">
        <f>ROUND(R58*70%, 0)</f>
        <v/>
      </c>
      <c r="W58" s="18">
        <f>MIN(ROUNDUP(R58*0.2, 0), MAX(0, R58 - V58))</f>
        <v/>
      </c>
      <c r="X58" s="17">
        <f>IF(C58&gt;20, "Hủy slot (Mưa &gt; 20mm)", "Kích hoạt")</f>
        <v/>
      </c>
      <c r="Y58" s="18">
        <f>IF(C58&gt;20, 0, W58)</f>
        <v/>
      </c>
      <c r="Z58" s="18">
        <f>IF(C58&gt;20, W58*0.2*AF58, 0)</f>
        <v/>
      </c>
      <c r="AA58" s="18">
        <f>MAX(0, J58 - V58 - Y58)</f>
        <v/>
      </c>
      <c r="AB58" s="18">
        <f>L58</f>
        <v/>
      </c>
      <c r="AC58" s="18">
        <f>V58 + Y58 + AA58</f>
        <v/>
      </c>
      <c r="AD58" s="18">
        <f>AC58 + AB58</f>
        <v/>
      </c>
      <c r="AE58" s="18" t="n">
        <v>9</v>
      </c>
      <c r="AF58" s="18">
        <f>IF(OR(B58&gt;=34, F58=1), 11700000, 9000000)</f>
        <v/>
      </c>
      <c r="AG58" s="18">
        <f>IF(OR(B58&gt;=34, F58=1), 4550000, 3500000)</f>
        <v/>
      </c>
      <c r="AH58" s="18" t="n">
        <v>0.02</v>
      </c>
      <c r="AI58" s="18">
        <f>AVERAGE(J55:J57)</f>
        <v/>
      </c>
      <c r="AJ58" s="18">
        <f>ABS(J58 - AI58)</f>
        <v/>
      </c>
      <c r="AK58" s="18">
        <f>IF(AI58="", 0, IF(AI58&gt;J58, (AI58-J58)*2700000, 0))</f>
        <v/>
      </c>
      <c r="AL58" s="18">
        <f>IF(AI58="", 0, IF(J58&gt;AI58, (J58-AI58)*6000000, 0))</f>
        <v/>
      </c>
      <c r="AM58" s="18">
        <f>AK58 + AL58</f>
        <v/>
      </c>
      <c r="AN58" s="18">
        <f>ABS(AC58 - J58)</f>
        <v/>
      </c>
      <c r="AO58" s="18">
        <f>IF(AC58&gt;J58, (AC58-J58)*2700000, 0)</f>
        <v/>
      </c>
      <c r="AP58" s="18">
        <f>IF(J58&gt;AC58, (J58-AC58)*6000000, 0)</f>
        <v/>
      </c>
      <c r="AQ58" s="18">
        <f>AO58 + AP58 + Z58</f>
        <v/>
      </c>
    </row>
    <row r="59">
      <c r="A59" s="17" t="inlineStr">
        <is>
          <t>Ngày 57 (26/06)</t>
        </is>
      </c>
      <c r="B59" s="18" t="n">
        <v>33.8</v>
      </c>
      <c r="C59" s="18" t="n">
        <v>0</v>
      </c>
      <c r="D59" s="18" t="n">
        <v>0.93</v>
      </c>
      <c r="E59" s="18" t="n">
        <v>670</v>
      </c>
      <c r="F59" s="18" t="n">
        <v>1</v>
      </c>
      <c r="G59" s="18" t="n">
        <v>688.2</v>
      </c>
      <c r="H59" s="18">
        <f>G59*IF(F59=1, 0.85, 0.8)</f>
        <v/>
      </c>
      <c r="I59" s="17" t="inlineStr">
        <is>
          <t>2-4</t>
        </is>
      </c>
      <c r="J59" s="18">
        <f>INT(H59/(18*0.95))</f>
        <v/>
      </c>
      <c r="K59" s="18">
        <f>ROUND(MOD(H59, (18*0.95)), 2)</f>
        <v/>
      </c>
      <c r="L59" s="18">
        <f>IF(K59&gt;0, ROUNDUP(K59/(5*0.95), 0), 0)</f>
        <v/>
      </c>
      <c r="M59" s="18">
        <f>J59+L59</f>
        <v/>
      </c>
      <c r="N59" s="18">
        <f>ROUND(TREND(G$3:G$94, E$3:E$94, E59), 1)</f>
        <v/>
      </c>
      <c r="O59" s="18">
        <f>ROUND(TREND(G$3:G$94, B$3:E$94, B59:E59), 1)</f>
        <v/>
      </c>
      <c r="P59" s="18">
        <f>ROUND(TREND(G$3:G$94, B$3:F$94, B59:F59), 1)</f>
        <v/>
      </c>
      <c r="Q59" s="18">
        <f>P59*IF(F59=1, 0.85, 0.8)</f>
        <v/>
      </c>
      <c r="R59" s="18">
        <f>INT(Q59/(18*0.95))</f>
        <v/>
      </c>
      <c r="S59" s="18">
        <f>ROUND(MOD(Q59, (18*0.95)), 2)</f>
        <v/>
      </c>
      <c r="T59" s="18">
        <f>IF(S59&gt;0, ROUNDUP(S59/(5*0.95), 0), 0)</f>
        <v/>
      </c>
      <c r="U59" s="18">
        <f>R59+T59</f>
        <v/>
      </c>
      <c r="V59" s="18">
        <f>ROUND(R59*70%, 0)</f>
        <v/>
      </c>
      <c r="W59" s="18">
        <f>MIN(ROUNDUP(R59*0.2, 0), MAX(0, R59 - V59))</f>
        <v/>
      </c>
      <c r="X59" s="17">
        <f>IF(C59&gt;20, "Hủy slot (Mưa &gt; 20mm)", "Kích hoạt")</f>
        <v/>
      </c>
      <c r="Y59" s="18">
        <f>IF(C59&gt;20, 0, W59)</f>
        <v/>
      </c>
      <c r="Z59" s="18">
        <f>IF(C59&gt;20, W59*0.2*AF59, 0)</f>
        <v/>
      </c>
      <c r="AA59" s="18">
        <f>MAX(0, J59 - V59 - Y59)</f>
        <v/>
      </c>
      <c r="AB59" s="18">
        <f>L59</f>
        <v/>
      </c>
      <c r="AC59" s="18">
        <f>V59 + Y59 + AA59</f>
        <v/>
      </c>
      <c r="AD59" s="18">
        <f>AC59 + AB59</f>
        <v/>
      </c>
      <c r="AE59" s="18" t="n">
        <v>9</v>
      </c>
      <c r="AF59" s="18">
        <f>IF(OR(B59&gt;=34, F59=1), 11700000, 9000000)</f>
        <v/>
      </c>
      <c r="AG59" s="18">
        <f>IF(OR(B59&gt;=34, F59=1), 4550000, 3500000)</f>
        <v/>
      </c>
      <c r="AH59" s="18" t="n">
        <v>0.02</v>
      </c>
      <c r="AI59" s="18">
        <f>AVERAGE(J56:J58)</f>
        <v/>
      </c>
      <c r="AJ59" s="18">
        <f>ABS(J59 - AI59)</f>
        <v/>
      </c>
      <c r="AK59" s="18">
        <f>IF(AI59="", 0, IF(AI59&gt;J59, (AI59-J59)*2700000, 0))</f>
        <v/>
      </c>
      <c r="AL59" s="18">
        <f>IF(AI59="", 0, IF(J59&gt;AI59, (J59-AI59)*6000000, 0))</f>
        <v/>
      </c>
      <c r="AM59" s="18">
        <f>AK59 + AL59</f>
        <v/>
      </c>
      <c r="AN59" s="18">
        <f>ABS(AC59 - J59)</f>
        <v/>
      </c>
      <c r="AO59" s="18">
        <f>IF(AC59&gt;J59, (AC59-J59)*2700000, 0)</f>
        <v/>
      </c>
      <c r="AP59" s="18">
        <f>IF(J59&gt;AC59, (J59-AC59)*6000000, 0)</f>
        <v/>
      </c>
      <c r="AQ59" s="18">
        <f>AO59 + AP59 + Z59</f>
        <v/>
      </c>
    </row>
    <row r="60">
      <c r="A60" s="17" t="inlineStr">
        <is>
          <t>Ngày 58 (27/06)</t>
        </is>
      </c>
      <c r="B60" s="18" t="n">
        <v>35.1</v>
      </c>
      <c r="C60" s="18" t="n">
        <v>0</v>
      </c>
      <c r="D60" s="18" t="n">
        <v>0.95</v>
      </c>
      <c r="E60" s="18" t="n">
        <v>632.4</v>
      </c>
      <c r="F60" s="18" t="n">
        <v>0</v>
      </c>
      <c r="G60" s="18" t="n">
        <v>613.4</v>
      </c>
      <c r="H60" s="18">
        <f>G60*IF(F60=1, 0.85, 0.8)</f>
        <v/>
      </c>
      <c r="I60" s="17" t="inlineStr">
        <is>
          <t>2-4</t>
        </is>
      </c>
      <c r="J60" s="18">
        <f>INT(H60/(18*0.95))</f>
        <v/>
      </c>
      <c r="K60" s="18">
        <f>ROUND(MOD(H60, (18*0.95)), 2)</f>
        <v/>
      </c>
      <c r="L60" s="18">
        <f>IF(K60&gt;0, ROUNDUP(K60/(5*0.95), 0), 0)</f>
        <v/>
      </c>
      <c r="M60" s="18">
        <f>J60+L60</f>
        <v/>
      </c>
      <c r="N60" s="18">
        <f>ROUND(TREND(G$3:G$94, E$3:E$94, E60), 1)</f>
        <v/>
      </c>
      <c r="O60" s="18">
        <f>ROUND(TREND(G$3:G$94, B$3:E$94, B60:E60), 1)</f>
        <v/>
      </c>
      <c r="P60" s="18">
        <f>ROUND(TREND(G$3:G$94, B$3:F$94, B60:F60), 1)</f>
        <v/>
      </c>
      <c r="Q60" s="18">
        <f>P60*IF(F60=1, 0.85, 0.8)</f>
        <v/>
      </c>
      <c r="R60" s="18">
        <f>INT(Q60/(18*0.95))</f>
        <v/>
      </c>
      <c r="S60" s="18">
        <f>ROUND(MOD(Q60, (18*0.95)), 2)</f>
        <v/>
      </c>
      <c r="T60" s="18">
        <f>IF(S60&gt;0, ROUNDUP(S60/(5*0.95), 0), 0)</f>
        <v/>
      </c>
      <c r="U60" s="18">
        <f>R60+T60</f>
        <v/>
      </c>
      <c r="V60" s="18">
        <f>ROUND(R60*70%, 0)</f>
        <v/>
      </c>
      <c r="W60" s="18">
        <f>MIN(ROUNDUP(R60*0.2, 0), MAX(0, R60 - V60))</f>
        <v/>
      </c>
      <c r="X60" s="17">
        <f>IF(C60&gt;20, "Hủy slot (Mưa &gt; 20mm)", "Kích hoạt")</f>
        <v/>
      </c>
      <c r="Y60" s="18">
        <f>IF(C60&gt;20, 0, W60)</f>
        <v/>
      </c>
      <c r="Z60" s="18">
        <f>IF(C60&gt;20, W60*0.2*AF60, 0)</f>
        <v/>
      </c>
      <c r="AA60" s="18">
        <f>MAX(0, J60 - V60 - Y60)</f>
        <v/>
      </c>
      <c r="AB60" s="18">
        <f>L60</f>
        <v/>
      </c>
      <c r="AC60" s="18">
        <f>V60 + Y60 + AA60</f>
        <v/>
      </c>
      <c r="AD60" s="18">
        <f>AC60 + AB60</f>
        <v/>
      </c>
      <c r="AE60" s="18" t="n">
        <v>9</v>
      </c>
      <c r="AF60" s="18">
        <f>IF(OR(B60&gt;=34, F60=1), 11700000, 9000000)</f>
        <v/>
      </c>
      <c r="AG60" s="18">
        <f>IF(OR(B60&gt;=34, F60=1), 4550000, 3500000)</f>
        <v/>
      </c>
      <c r="AH60" s="18" t="n">
        <v>0.02</v>
      </c>
      <c r="AI60" s="18">
        <f>AVERAGE(J57:J59)</f>
        <v/>
      </c>
      <c r="AJ60" s="18">
        <f>ABS(J60 - AI60)</f>
        <v/>
      </c>
      <c r="AK60" s="18">
        <f>IF(AI60="", 0, IF(AI60&gt;J60, (AI60-J60)*2700000, 0))</f>
        <v/>
      </c>
      <c r="AL60" s="18">
        <f>IF(AI60="", 0, IF(J60&gt;AI60, (J60-AI60)*6000000, 0))</f>
        <v/>
      </c>
      <c r="AM60" s="18">
        <f>AK60 + AL60</f>
        <v/>
      </c>
      <c r="AN60" s="18">
        <f>ABS(AC60 - J60)</f>
        <v/>
      </c>
      <c r="AO60" s="18">
        <f>IF(AC60&gt;J60, (AC60-J60)*2700000, 0)</f>
        <v/>
      </c>
      <c r="AP60" s="18">
        <f>IF(J60&gt;AC60, (J60-AC60)*6000000, 0)</f>
        <v/>
      </c>
      <c r="AQ60" s="18">
        <f>AO60 + AP60 + Z60</f>
        <v/>
      </c>
    </row>
    <row r="61">
      <c r="A61" s="17" t="inlineStr">
        <is>
          <t>Ngày 59 (28/06)</t>
        </is>
      </c>
      <c r="B61" s="18" t="n">
        <v>37.2</v>
      </c>
      <c r="C61" s="18" t="n">
        <v>0</v>
      </c>
      <c r="D61" s="18" t="n">
        <v>0.97</v>
      </c>
      <c r="E61" s="18" t="n">
        <v>527.4</v>
      </c>
      <c r="F61" s="18" t="n">
        <v>0</v>
      </c>
      <c r="G61" s="18" t="n">
        <v>660.6</v>
      </c>
      <c r="H61" s="18">
        <f>G61*IF(F61=1, 0.85, 0.8)</f>
        <v/>
      </c>
      <c r="I61" s="17" t="inlineStr">
        <is>
          <t>2-4</t>
        </is>
      </c>
      <c r="J61" s="18">
        <f>INT(H61/(18*0.95))</f>
        <v/>
      </c>
      <c r="K61" s="18">
        <f>ROUND(MOD(H61, (18*0.95)), 2)</f>
        <v/>
      </c>
      <c r="L61" s="18">
        <f>IF(K61&gt;0, ROUNDUP(K61/(5*0.95), 0), 0)</f>
        <v/>
      </c>
      <c r="M61" s="18">
        <f>J61+L61</f>
        <v/>
      </c>
      <c r="N61" s="18">
        <f>ROUND(TREND(G$3:G$94, E$3:E$94, E61), 1)</f>
        <v/>
      </c>
      <c r="O61" s="18">
        <f>ROUND(TREND(G$3:G$94, B$3:E$94, B61:E61), 1)</f>
        <v/>
      </c>
      <c r="P61" s="18">
        <f>ROUND(TREND(G$3:G$94, B$3:F$94, B61:F61), 1)</f>
        <v/>
      </c>
      <c r="Q61" s="18">
        <f>P61*IF(F61=1, 0.85, 0.8)</f>
        <v/>
      </c>
      <c r="R61" s="18">
        <f>INT(Q61/(18*0.95))</f>
        <v/>
      </c>
      <c r="S61" s="18">
        <f>ROUND(MOD(Q61, (18*0.95)), 2)</f>
        <v/>
      </c>
      <c r="T61" s="18">
        <f>IF(S61&gt;0, ROUNDUP(S61/(5*0.95), 0), 0)</f>
        <v/>
      </c>
      <c r="U61" s="18">
        <f>R61+T61</f>
        <v/>
      </c>
      <c r="V61" s="18">
        <f>ROUND(R61*70%, 0)</f>
        <v/>
      </c>
      <c r="W61" s="18">
        <f>MIN(ROUNDUP(R61*0.2, 0), MAX(0, R61 - V61))</f>
        <v/>
      </c>
      <c r="X61" s="17">
        <f>IF(C61&gt;20, "Hủy slot (Mưa &gt; 20mm)", "Kích hoạt")</f>
        <v/>
      </c>
      <c r="Y61" s="18">
        <f>IF(C61&gt;20, 0, W61)</f>
        <v/>
      </c>
      <c r="Z61" s="18">
        <f>IF(C61&gt;20, W61*0.2*AF61, 0)</f>
        <v/>
      </c>
      <c r="AA61" s="18">
        <f>MAX(0, J61 - V61 - Y61)</f>
        <v/>
      </c>
      <c r="AB61" s="18">
        <f>L61</f>
        <v/>
      </c>
      <c r="AC61" s="18">
        <f>V61 + Y61 + AA61</f>
        <v/>
      </c>
      <c r="AD61" s="18">
        <f>AC61 + AB61</f>
        <v/>
      </c>
      <c r="AE61" s="18" t="n">
        <v>9</v>
      </c>
      <c r="AF61" s="18">
        <f>IF(OR(B61&gt;=34, F61=1), 11700000, 9000000)</f>
        <v/>
      </c>
      <c r="AG61" s="18">
        <f>IF(OR(B61&gt;=34, F61=1), 4550000, 3500000)</f>
        <v/>
      </c>
      <c r="AH61" s="18" t="n">
        <v>0.02</v>
      </c>
      <c r="AI61" s="18">
        <f>AVERAGE(J58:J60)</f>
        <v/>
      </c>
      <c r="AJ61" s="18">
        <f>ABS(J61 - AI61)</f>
        <v/>
      </c>
      <c r="AK61" s="18">
        <f>IF(AI61="", 0, IF(AI61&gt;J61, (AI61-J61)*2700000, 0))</f>
        <v/>
      </c>
      <c r="AL61" s="18">
        <f>IF(AI61="", 0, IF(J61&gt;AI61, (J61-AI61)*6000000, 0))</f>
        <v/>
      </c>
      <c r="AM61" s="18">
        <f>AK61 + AL61</f>
        <v/>
      </c>
      <c r="AN61" s="18">
        <f>ABS(AC61 - J61)</f>
        <v/>
      </c>
      <c r="AO61" s="18">
        <f>IF(AC61&gt;J61, (AC61-J61)*2700000, 0)</f>
        <v/>
      </c>
      <c r="AP61" s="18">
        <f>IF(J61&gt;AC61, (J61-AC61)*6000000, 0)</f>
        <v/>
      </c>
      <c r="AQ61" s="18">
        <f>AO61 + AP61 + Z61</f>
        <v/>
      </c>
    </row>
    <row r="62">
      <c r="A62" s="17" t="inlineStr">
        <is>
          <t>Ngày 60 (29/06)</t>
        </is>
      </c>
      <c r="B62" s="18" t="n">
        <v>34.5</v>
      </c>
      <c r="C62" s="18" t="n">
        <v>0</v>
      </c>
      <c r="D62" s="18" t="n">
        <v>0.98</v>
      </c>
      <c r="E62" s="18" t="n">
        <v>598.6</v>
      </c>
      <c r="F62" s="18" t="n">
        <v>0</v>
      </c>
      <c r="G62" s="18" t="n">
        <v>579.4</v>
      </c>
      <c r="H62" s="18">
        <f>G62*IF(F62=1, 0.85, 0.8)</f>
        <v/>
      </c>
      <c r="I62" s="17" t="inlineStr">
        <is>
          <t>2-4</t>
        </is>
      </c>
      <c r="J62" s="18">
        <f>INT(H62/(18*0.95))</f>
        <v/>
      </c>
      <c r="K62" s="18">
        <f>ROUND(MOD(H62, (18*0.95)), 2)</f>
        <v/>
      </c>
      <c r="L62" s="18">
        <f>IF(K62&gt;0, ROUNDUP(K62/(5*0.95), 0), 0)</f>
        <v/>
      </c>
      <c r="M62" s="18">
        <f>J62+L62</f>
        <v/>
      </c>
      <c r="N62" s="18">
        <f>ROUND(TREND(G$3:G$94, E$3:E$94, E62), 1)</f>
        <v/>
      </c>
      <c r="O62" s="18">
        <f>ROUND(TREND(G$3:G$94, B$3:E$94, B62:E62), 1)</f>
        <v/>
      </c>
      <c r="P62" s="18">
        <f>ROUND(TREND(G$3:G$94, B$3:F$94, B62:F62), 1)</f>
        <v/>
      </c>
      <c r="Q62" s="18">
        <f>P62*IF(F62=1, 0.85, 0.8)</f>
        <v/>
      </c>
      <c r="R62" s="18">
        <f>INT(Q62/(18*0.95))</f>
        <v/>
      </c>
      <c r="S62" s="18">
        <f>ROUND(MOD(Q62, (18*0.95)), 2)</f>
        <v/>
      </c>
      <c r="T62" s="18">
        <f>IF(S62&gt;0, ROUNDUP(S62/(5*0.95), 0), 0)</f>
        <v/>
      </c>
      <c r="U62" s="18">
        <f>R62+T62</f>
        <v/>
      </c>
      <c r="V62" s="18">
        <f>ROUND(R62*70%, 0)</f>
        <v/>
      </c>
      <c r="W62" s="18">
        <f>MIN(ROUNDUP(R62*0.2, 0), MAX(0, R62 - V62))</f>
        <v/>
      </c>
      <c r="X62" s="17">
        <f>IF(C62&gt;20, "Hủy slot (Mưa &gt; 20mm)", "Kích hoạt")</f>
        <v/>
      </c>
      <c r="Y62" s="18">
        <f>IF(C62&gt;20, 0, W62)</f>
        <v/>
      </c>
      <c r="Z62" s="18">
        <f>IF(C62&gt;20, W62*0.2*AF62, 0)</f>
        <v/>
      </c>
      <c r="AA62" s="18">
        <f>MAX(0, J62 - V62 - Y62)</f>
        <v/>
      </c>
      <c r="AB62" s="18">
        <f>L62</f>
        <v/>
      </c>
      <c r="AC62" s="18">
        <f>V62 + Y62 + AA62</f>
        <v/>
      </c>
      <c r="AD62" s="18">
        <f>AC62 + AB62</f>
        <v/>
      </c>
      <c r="AE62" s="18" t="n">
        <v>9</v>
      </c>
      <c r="AF62" s="18">
        <f>IF(OR(B62&gt;=34, F62=1), 11700000, 9000000)</f>
        <v/>
      </c>
      <c r="AG62" s="18">
        <f>IF(OR(B62&gt;=34, F62=1), 4550000, 3500000)</f>
        <v/>
      </c>
      <c r="AH62" s="18" t="n">
        <v>0.02</v>
      </c>
      <c r="AI62" s="18">
        <f>AVERAGE(J59:J61)</f>
        <v/>
      </c>
      <c r="AJ62" s="18">
        <f>ABS(J62 - AI62)</f>
        <v/>
      </c>
      <c r="AK62" s="18">
        <f>IF(AI62="", 0, IF(AI62&gt;J62, (AI62-J62)*2700000, 0))</f>
        <v/>
      </c>
      <c r="AL62" s="18">
        <f>IF(AI62="", 0, IF(J62&gt;AI62, (J62-AI62)*6000000, 0))</f>
        <v/>
      </c>
      <c r="AM62" s="18">
        <f>AK62 + AL62</f>
        <v/>
      </c>
      <c r="AN62" s="18">
        <f>ABS(AC62 - J62)</f>
        <v/>
      </c>
      <c r="AO62" s="18">
        <f>IF(AC62&gt;J62, (AC62-J62)*2700000, 0)</f>
        <v/>
      </c>
      <c r="AP62" s="18">
        <f>IF(J62&gt;AC62, (J62-AC62)*6000000, 0)</f>
        <v/>
      </c>
      <c r="AQ62" s="18">
        <f>AO62 + AP62 + Z62</f>
        <v/>
      </c>
    </row>
    <row r="63">
      <c r="A63" s="17" t="inlineStr">
        <is>
          <t>Ngày 61 (30/06)</t>
        </is>
      </c>
      <c r="B63" s="18" t="n">
        <v>34.5</v>
      </c>
      <c r="C63" s="18" t="n">
        <v>0</v>
      </c>
      <c r="D63" s="18" t="n">
        <v>1</v>
      </c>
      <c r="E63" s="18" t="n">
        <v>560.6</v>
      </c>
      <c r="F63" s="18" t="n">
        <v>0</v>
      </c>
      <c r="G63" s="18" t="n">
        <v>549.7</v>
      </c>
      <c r="H63" s="18">
        <f>G63*IF(F63=1, 0.85, 0.8)</f>
        <v/>
      </c>
      <c r="I63" s="17" t="inlineStr">
        <is>
          <t>2-4</t>
        </is>
      </c>
      <c r="J63" s="18">
        <f>INT(H63/(18*0.95))</f>
        <v/>
      </c>
      <c r="K63" s="18">
        <f>ROUND(MOD(H63, (18*0.95)), 2)</f>
        <v/>
      </c>
      <c r="L63" s="18">
        <f>IF(K63&gt;0, ROUNDUP(K63/(5*0.95), 0), 0)</f>
        <v/>
      </c>
      <c r="M63" s="18">
        <f>J63+L63</f>
        <v/>
      </c>
      <c r="N63" s="18">
        <f>ROUND(TREND(G$3:G$94, E$3:E$94, E63), 1)</f>
        <v/>
      </c>
      <c r="O63" s="18">
        <f>ROUND(TREND(G$3:G$94, B$3:E$94, B63:E63), 1)</f>
        <v/>
      </c>
      <c r="P63" s="18">
        <f>ROUND(TREND(G$3:G$94, B$3:F$94, B63:F63), 1)</f>
        <v/>
      </c>
      <c r="Q63" s="18">
        <f>P63*IF(F63=1, 0.85, 0.8)</f>
        <v/>
      </c>
      <c r="R63" s="18">
        <f>INT(Q63/(18*0.95))</f>
        <v/>
      </c>
      <c r="S63" s="18">
        <f>ROUND(MOD(Q63, (18*0.95)), 2)</f>
        <v/>
      </c>
      <c r="T63" s="18">
        <f>IF(S63&gt;0, ROUNDUP(S63/(5*0.95), 0), 0)</f>
        <v/>
      </c>
      <c r="U63" s="18">
        <f>R63+T63</f>
        <v/>
      </c>
      <c r="V63" s="18">
        <f>ROUND(R63*70%, 0)</f>
        <v/>
      </c>
      <c r="W63" s="18">
        <f>MIN(ROUNDUP(R63*0.2, 0), MAX(0, R63 - V63))</f>
        <v/>
      </c>
      <c r="X63" s="17">
        <f>IF(C63&gt;20, "Hủy slot (Mưa &gt; 20mm)", "Kích hoạt")</f>
        <v/>
      </c>
      <c r="Y63" s="18">
        <f>IF(C63&gt;20, 0, W63)</f>
        <v/>
      </c>
      <c r="Z63" s="18">
        <f>IF(C63&gt;20, W63*0.2*AF63, 0)</f>
        <v/>
      </c>
      <c r="AA63" s="18">
        <f>MAX(0, J63 - V63 - Y63)</f>
        <v/>
      </c>
      <c r="AB63" s="18">
        <f>L63</f>
        <v/>
      </c>
      <c r="AC63" s="18">
        <f>V63 + Y63 + AA63</f>
        <v/>
      </c>
      <c r="AD63" s="18">
        <f>AC63 + AB63</f>
        <v/>
      </c>
      <c r="AE63" s="18" t="n">
        <v>9</v>
      </c>
      <c r="AF63" s="18">
        <f>IF(OR(B63&gt;=34, F63=1), 11700000, 9000000)</f>
        <v/>
      </c>
      <c r="AG63" s="18">
        <f>IF(OR(B63&gt;=34, F63=1), 4550000, 3500000)</f>
        <v/>
      </c>
      <c r="AH63" s="18" t="n">
        <v>0.02</v>
      </c>
      <c r="AI63" s="18">
        <f>AVERAGE(J60:J62)</f>
        <v/>
      </c>
      <c r="AJ63" s="18">
        <f>ABS(J63 - AI63)</f>
        <v/>
      </c>
      <c r="AK63" s="18">
        <f>IF(AI63="", 0, IF(AI63&gt;J63, (AI63-J63)*2700000, 0))</f>
        <v/>
      </c>
      <c r="AL63" s="18">
        <f>IF(AI63="", 0, IF(J63&gt;AI63, (J63-AI63)*6000000, 0))</f>
        <v/>
      </c>
      <c r="AM63" s="18">
        <f>AK63 + AL63</f>
        <v/>
      </c>
      <c r="AN63" s="18">
        <f>ABS(AC63 - J63)</f>
        <v/>
      </c>
      <c r="AO63" s="18">
        <f>IF(AC63&gt;J63, (AC63-J63)*2700000, 0)</f>
        <v/>
      </c>
      <c r="AP63" s="18">
        <f>IF(J63&gt;AC63, (J63-AC63)*6000000, 0)</f>
        <v/>
      </c>
      <c r="AQ63" s="18">
        <f>AO63 + AP63 + Z63</f>
        <v/>
      </c>
    </row>
    <row r="64">
      <c r="A64" s="17" t="inlineStr">
        <is>
          <t>Ngày 62 (01/07)</t>
        </is>
      </c>
      <c r="B64" s="18" t="n">
        <v>30.2</v>
      </c>
      <c r="C64" s="18" t="n">
        <v>0</v>
      </c>
      <c r="D64" s="18" t="n">
        <v>1</v>
      </c>
      <c r="E64" s="18" t="n">
        <v>371.7</v>
      </c>
      <c r="F64" s="18" t="n">
        <v>0</v>
      </c>
      <c r="G64" s="18" t="n">
        <v>374.8</v>
      </c>
      <c r="H64" s="18">
        <f>G64*IF(F64=1, 0.85, 0.8)</f>
        <v/>
      </c>
      <c r="I64" s="17" t="inlineStr">
        <is>
          <t>2-4</t>
        </is>
      </c>
      <c r="J64" s="18">
        <f>INT(H64/(18*0.95))</f>
        <v/>
      </c>
      <c r="K64" s="18">
        <f>ROUND(MOD(H64, (18*0.95)), 2)</f>
        <v/>
      </c>
      <c r="L64" s="18">
        <f>IF(K64&gt;0, ROUNDUP(K64/(5*0.95), 0), 0)</f>
        <v/>
      </c>
      <c r="M64" s="18">
        <f>J64+L64</f>
        <v/>
      </c>
      <c r="N64" s="18">
        <f>ROUND(TREND(G$3:G$94, E$3:E$94, E64), 1)</f>
        <v/>
      </c>
      <c r="O64" s="18">
        <f>ROUND(TREND(G$3:G$94, B$3:E$94, B64:E64), 1)</f>
        <v/>
      </c>
      <c r="P64" s="18">
        <f>ROUND(TREND(G$3:G$94, B$3:F$94, B64:F64), 1)</f>
        <v/>
      </c>
      <c r="Q64" s="18">
        <f>P64*IF(F64=1, 0.85, 0.8)</f>
        <v/>
      </c>
      <c r="R64" s="18">
        <f>INT(Q64/(18*0.95))</f>
        <v/>
      </c>
      <c r="S64" s="18">
        <f>ROUND(MOD(Q64, (18*0.95)), 2)</f>
        <v/>
      </c>
      <c r="T64" s="18">
        <f>IF(S64&gt;0, ROUNDUP(S64/(5*0.95), 0), 0)</f>
        <v/>
      </c>
      <c r="U64" s="18">
        <f>R64+T64</f>
        <v/>
      </c>
      <c r="V64" s="18">
        <f>ROUND(R64*70%, 0)</f>
        <v/>
      </c>
      <c r="W64" s="18">
        <f>MIN(ROUNDUP(R64*0.2, 0), MAX(0, R64 - V64))</f>
        <v/>
      </c>
      <c r="X64" s="17">
        <f>IF(C64&gt;20, "Hủy slot (Mưa &gt; 20mm)", "Kích hoạt")</f>
        <v/>
      </c>
      <c r="Y64" s="18">
        <f>IF(C64&gt;20, 0, W64)</f>
        <v/>
      </c>
      <c r="Z64" s="18">
        <f>IF(C64&gt;20, W64*0.2*AF64, 0)</f>
        <v/>
      </c>
      <c r="AA64" s="18">
        <f>MAX(0, J64 - V64 - Y64)</f>
        <v/>
      </c>
      <c r="AB64" s="18">
        <f>L64</f>
        <v/>
      </c>
      <c r="AC64" s="18">
        <f>V64 + Y64 + AA64</f>
        <v/>
      </c>
      <c r="AD64" s="18">
        <f>AC64 + AB64</f>
        <v/>
      </c>
      <c r="AE64" s="18" t="n">
        <v>9</v>
      </c>
      <c r="AF64" s="18">
        <f>IF(OR(B64&gt;=34, F64=1), 11700000, 9000000)</f>
        <v/>
      </c>
      <c r="AG64" s="18">
        <f>IF(OR(B64&gt;=34, F64=1), 4550000, 3500000)</f>
        <v/>
      </c>
      <c r="AH64" s="18" t="n">
        <v>0.02</v>
      </c>
      <c r="AI64" s="18">
        <f>AVERAGE(J61:J63)</f>
        <v/>
      </c>
      <c r="AJ64" s="18">
        <f>ABS(J64 - AI64)</f>
        <v/>
      </c>
      <c r="AK64" s="18">
        <f>IF(AI64="", 0, IF(AI64&gt;J64, (AI64-J64)*2700000, 0))</f>
        <v/>
      </c>
      <c r="AL64" s="18">
        <f>IF(AI64="", 0, IF(J64&gt;AI64, (J64-AI64)*6000000, 0))</f>
        <v/>
      </c>
      <c r="AM64" s="18">
        <f>AK64 + AL64</f>
        <v/>
      </c>
      <c r="AN64" s="18">
        <f>ABS(AC64 - J64)</f>
        <v/>
      </c>
      <c r="AO64" s="18">
        <f>IF(AC64&gt;J64, (AC64-J64)*2700000, 0)</f>
        <v/>
      </c>
      <c r="AP64" s="18">
        <f>IF(J64&gt;AC64, (J64-AC64)*6000000, 0)</f>
        <v/>
      </c>
      <c r="AQ64" s="18">
        <f>AO64 + AP64 + Z64</f>
        <v/>
      </c>
    </row>
    <row r="65">
      <c r="A65" s="17" t="inlineStr">
        <is>
          <t>Ngày 63 (02/07)</t>
        </is>
      </c>
      <c r="B65" s="18" t="n">
        <v>30.5</v>
      </c>
      <c r="C65" s="18" t="n">
        <v>0</v>
      </c>
      <c r="D65" s="18" t="n">
        <v>1</v>
      </c>
      <c r="E65" s="18" t="n">
        <v>357.6</v>
      </c>
      <c r="F65" s="18" t="n">
        <v>1</v>
      </c>
      <c r="G65" s="18" t="n">
        <v>383.8</v>
      </c>
      <c r="H65" s="18">
        <f>G65*IF(F65=1, 0.85, 0.8)</f>
        <v/>
      </c>
      <c r="I65" s="17" t="inlineStr">
        <is>
          <t>2-4</t>
        </is>
      </c>
      <c r="J65" s="18">
        <f>INT(H65/(18*0.95))</f>
        <v/>
      </c>
      <c r="K65" s="18">
        <f>ROUND(MOD(H65, (18*0.95)), 2)</f>
        <v/>
      </c>
      <c r="L65" s="18">
        <f>IF(K65&gt;0, ROUNDUP(K65/(5*0.95), 0), 0)</f>
        <v/>
      </c>
      <c r="M65" s="18">
        <f>J65+L65</f>
        <v/>
      </c>
      <c r="N65" s="18">
        <f>ROUND(TREND(G$3:G$94, E$3:E$94, E65), 1)</f>
        <v/>
      </c>
      <c r="O65" s="18">
        <f>ROUND(TREND(G$3:G$94, B$3:E$94, B65:E65), 1)</f>
        <v/>
      </c>
      <c r="P65" s="18">
        <f>ROUND(TREND(G$3:G$94, B$3:F$94, B65:F65), 1)</f>
        <v/>
      </c>
      <c r="Q65" s="18">
        <f>P65*IF(F65=1, 0.85, 0.8)</f>
        <v/>
      </c>
      <c r="R65" s="18">
        <f>INT(Q65/(18*0.95))</f>
        <v/>
      </c>
      <c r="S65" s="18">
        <f>ROUND(MOD(Q65, (18*0.95)), 2)</f>
        <v/>
      </c>
      <c r="T65" s="18">
        <f>IF(S65&gt;0, ROUNDUP(S65/(5*0.95), 0), 0)</f>
        <v/>
      </c>
      <c r="U65" s="18">
        <f>R65+T65</f>
        <v/>
      </c>
      <c r="V65" s="18">
        <f>ROUND(R65*70%, 0)</f>
        <v/>
      </c>
      <c r="W65" s="18">
        <f>MIN(ROUNDUP(R65*0.2, 0), MAX(0, R65 - V65))</f>
        <v/>
      </c>
      <c r="X65" s="17">
        <f>IF(C65&gt;20, "Hủy slot (Mưa &gt; 20mm)", "Kích hoạt")</f>
        <v/>
      </c>
      <c r="Y65" s="18">
        <f>IF(C65&gt;20, 0, W65)</f>
        <v/>
      </c>
      <c r="Z65" s="18">
        <f>IF(C65&gt;20, W65*0.2*AF65, 0)</f>
        <v/>
      </c>
      <c r="AA65" s="18">
        <f>MAX(0, J65 - V65 - Y65)</f>
        <v/>
      </c>
      <c r="AB65" s="18">
        <f>L65</f>
        <v/>
      </c>
      <c r="AC65" s="18">
        <f>V65 + Y65 + AA65</f>
        <v/>
      </c>
      <c r="AD65" s="18">
        <f>AC65 + AB65</f>
        <v/>
      </c>
      <c r="AE65" s="18" t="n">
        <v>9</v>
      </c>
      <c r="AF65" s="18">
        <f>IF(OR(B65&gt;=34, F65=1), 11700000, 9000000)</f>
        <v/>
      </c>
      <c r="AG65" s="18">
        <f>IF(OR(B65&gt;=34, F65=1), 4550000, 3500000)</f>
        <v/>
      </c>
      <c r="AH65" s="18" t="n">
        <v>0.02</v>
      </c>
      <c r="AI65" s="18">
        <f>AVERAGE(J62:J64)</f>
        <v/>
      </c>
      <c r="AJ65" s="18">
        <f>ABS(J65 - AI65)</f>
        <v/>
      </c>
      <c r="AK65" s="18">
        <f>IF(AI65="", 0, IF(AI65&gt;J65, (AI65-J65)*2700000, 0))</f>
        <v/>
      </c>
      <c r="AL65" s="18">
        <f>IF(AI65="", 0, IF(J65&gt;AI65, (J65-AI65)*6000000, 0))</f>
        <v/>
      </c>
      <c r="AM65" s="18">
        <f>AK65 + AL65</f>
        <v/>
      </c>
      <c r="AN65" s="18">
        <f>ABS(AC65 - J65)</f>
        <v/>
      </c>
      <c r="AO65" s="18">
        <f>IF(AC65&gt;J65, (AC65-J65)*2700000, 0)</f>
        <v/>
      </c>
      <c r="AP65" s="18">
        <f>IF(J65&gt;AC65, (J65-AC65)*6000000, 0)</f>
        <v/>
      </c>
      <c r="AQ65" s="18">
        <f>AO65 + AP65 + Z65</f>
        <v/>
      </c>
    </row>
    <row r="66">
      <c r="A66" s="17" t="inlineStr">
        <is>
          <t>Ngày 64 (03/07)</t>
        </is>
      </c>
      <c r="B66" s="18" t="n">
        <v>29.3</v>
      </c>
      <c r="C66" s="18" t="n">
        <v>25</v>
      </c>
      <c r="D66" s="18" t="n">
        <v>1</v>
      </c>
      <c r="E66" s="18" t="n">
        <v>314.7</v>
      </c>
      <c r="F66" s="18" t="n">
        <v>1</v>
      </c>
      <c r="G66" s="18" t="n">
        <v>283.2</v>
      </c>
      <c r="H66" s="18">
        <f>G66*IF(F66=1, 0.85, 0.8)</f>
        <v/>
      </c>
      <c r="I66" s="17" t="inlineStr">
        <is>
          <t>2-4</t>
        </is>
      </c>
      <c r="J66" s="18">
        <f>INT(H66/(18*0.95))</f>
        <v/>
      </c>
      <c r="K66" s="18">
        <f>ROUND(MOD(H66, (18*0.95)), 2)</f>
        <v/>
      </c>
      <c r="L66" s="18">
        <f>IF(K66&gt;0, ROUNDUP(K66/(5*0.95), 0), 0)</f>
        <v/>
      </c>
      <c r="M66" s="18">
        <f>J66+L66</f>
        <v/>
      </c>
      <c r="N66" s="18">
        <f>ROUND(TREND(G$3:G$94, E$3:E$94, E66), 1)</f>
        <v/>
      </c>
      <c r="O66" s="18">
        <f>ROUND(TREND(G$3:G$94, B$3:E$94, B66:E66), 1)</f>
        <v/>
      </c>
      <c r="P66" s="18">
        <f>ROUND(TREND(G$3:G$94, B$3:F$94, B66:F66), 1)</f>
        <v/>
      </c>
      <c r="Q66" s="18">
        <f>P66*IF(F66=1, 0.85, 0.8)</f>
        <v/>
      </c>
      <c r="R66" s="18">
        <f>INT(Q66/(18*0.95))</f>
        <v/>
      </c>
      <c r="S66" s="18">
        <f>ROUND(MOD(Q66, (18*0.95)), 2)</f>
        <v/>
      </c>
      <c r="T66" s="18">
        <f>IF(S66&gt;0, ROUNDUP(S66/(5*0.95), 0), 0)</f>
        <v/>
      </c>
      <c r="U66" s="18">
        <f>R66+T66</f>
        <v/>
      </c>
      <c r="V66" s="18">
        <f>ROUND(R66*70%, 0)</f>
        <v/>
      </c>
      <c r="W66" s="18">
        <f>MIN(ROUNDUP(R66*0.2, 0), MAX(0, R66 - V66))</f>
        <v/>
      </c>
      <c r="X66" s="17">
        <f>IF(C66&gt;20, "Hủy slot (Mưa &gt; 20mm)", "Kích hoạt")</f>
        <v/>
      </c>
      <c r="Y66" s="18">
        <f>IF(C66&gt;20, 0, W66)</f>
        <v/>
      </c>
      <c r="Z66" s="18">
        <f>IF(C66&gt;20, W66*0.2*AF66, 0)</f>
        <v/>
      </c>
      <c r="AA66" s="18">
        <f>MAX(0, J66 - V66 - Y66)</f>
        <v/>
      </c>
      <c r="AB66" s="18">
        <f>L66</f>
        <v/>
      </c>
      <c r="AC66" s="18">
        <f>V66 + Y66 + AA66</f>
        <v/>
      </c>
      <c r="AD66" s="18">
        <f>AC66 + AB66</f>
        <v/>
      </c>
      <c r="AE66" s="18" t="n">
        <v>9</v>
      </c>
      <c r="AF66" s="18">
        <f>IF(OR(B66&gt;=34, F66=1), 11700000, 9000000)</f>
        <v/>
      </c>
      <c r="AG66" s="18">
        <f>IF(OR(B66&gt;=34, F66=1), 4550000, 3500000)</f>
        <v/>
      </c>
      <c r="AH66" s="18" t="n">
        <v>0.02</v>
      </c>
      <c r="AI66" s="18">
        <f>AVERAGE(J63:J65)</f>
        <v/>
      </c>
      <c r="AJ66" s="18">
        <f>ABS(J66 - AI66)</f>
        <v/>
      </c>
      <c r="AK66" s="18">
        <f>IF(AI66="", 0, IF(AI66&gt;J66, (AI66-J66)*2700000, 0))</f>
        <v/>
      </c>
      <c r="AL66" s="18">
        <f>IF(AI66="", 0, IF(J66&gt;AI66, (J66-AI66)*6000000, 0))</f>
        <v/>
      </c>
      <c r="AM66" s="18">
        <f>AK66 + AL66</f>
        <v/>
      </c>
      <c r="AN66" s="18">
        <f>ABS(AC66 - J66)</f>
        <v/>
      </c>
      <c r="AO66" s="18">
        <f>IF(AC66&gt;J66, (AC66-J66)*2700000, 0)</f>
        <v/>
      </c>
      <c r="AP66" s="18">
        <f>IF(J66&gt;AC66, (J66-AC66)*6000000, 0)</f>
        <v/>
      </c>
      <c r="AQ66" s="18">
        <f>AO66 + AP66 + Z66</f>
        <v/>
      </c>
    </row>
    <row r="67">
      <c r="A67" s="17" t="inlineStr">
        <is>
          <t>Ngày 65 (04/07)</t>
        </is>
      </c>
      <c r="B67" s="18" t="n">
        <v>32.5</v>
      </c>
      <c r="C67" s="18" t="n">
        <v>0</v>
      </c>
      <c r="D67" s="18" t="n">
        <v>1</v>
      </c>
      <c r="E67" s="18" t="n">
        <v>371.6</v>
      </c>
      <c r="F67" s="18" t="n">
        <v>0</v>
      </c>
      <c r="G67" s="18" t="n">
        <v>333.8</v>
      </c>
      <c r="H67" s="18">
        <f>G67*IF(F67=1, 0.85, 0.8)</f>
        <v/>
      </c>
      <c r="I67" s="17" t="inlineStr">
        <is>
          <t>2-4</t>
        </is>
      </c>
      <c r="J67" s="18">
        <f>INT(H67/(18*0.95))</f>
        <v/>
      </c>
      <c r="K67" s="18">
        <f>ROUND(MOD(H67, (18*0.95)), 2)</f>
        <v/>
      </c>
      <c r="L67" s="18">
        <f>IF(K67&gt;0, ROUNDUP(K67/(5*0.95), 0), 0)</f>
        <v/>
      </c>
      <c r="M67" s="18">
        <f>J67+L67</f>
        <v/>
      </c>
      <c r="N67" s="18">
        <f>ROUND(TREND(G$3:G$94, E$3:E$94, E67), 1)</f>
        <v/>
      </c>
      <c r="O67" s="18">
        <f>ROUND(TREND(G$3:G$94, B$3:E$94, B67:E67), 1)</f>
        <v/>
      </c>
      <c r="P67" s="18">
        <f>ROUND(TREND(G$3:G$94, B$3:F$94, B67:F67), 1)</f>
        <v/>
      </c>
      <c r="Q67" s="18">
        <f>P67*IF(F67=1, 0.85, 0.8)</f>
        <v/>
      </c>
      <c r="R67" s="18">
        <f>INT(Q67/(18*0.95))</f>
        <v/>
      </c>
      <c r="S67" s="18">
        <f>ROUND(MOD(Q67, (18*0.95)), 2)</f>
        <v/>
      </c>
      <c r="T67" s="18">
        <f>IF(S67&gt;0, ROUNDUP(S67/(5*0.95), 0), 0)</f>
        <v/>
      </c>
      <c r="U67" s="18">
        <f>R67+T67</f>
        <v/>
      </c>
      <c r="V67" s="18">
        <f>ROUND(R67*70%, 0)</f>
        <v/>
      </c>
      <c r="W67" s="18">
        <f>MIN(ROUNDUP(R67*0.2, 0), MAX(0, R67 - V67))</f>
        <v/>
      </c>
      <c r="X67" s="17">
        <f>IF(C67&gt;20, "Hủy slot (Mưa &gt; 20mm)", "Kích hoạt")</f>
        <v/>
      </c>
      <c r="Y67" s="18">
        <f>IF(C67&gt;20, 0, W67)</f>
        <v/>
      </c>
      <c r="Z67" s="18">
        <f>IF(C67&gt;20, W67*0.2*AF67, 0)</f>
        <v/>
      </c>
      <c r="AA67" s="18">
        <f>MAX(0, J67 - V67 - Y67)</f>
        <v/>
      </c>
      <c r="AB67" s="18">
        <f>L67</f>
        <v/>
      </c>
      <c r="AC67" s="18">
        <f>V67 + Y67 + AA67</f>
        <v/>
      </c>
      <c r="AD67" s="18">
        <f>AC67 + AB67</f>
        <v/>
      </c>
      <c r="AE67" s="18" t="n">
        <v>9</v>
      </c>
      <c r="AF67" s="18">
        <f>IF(OR(B67&gt;=34, F67=1), 11700000, 9000000)</f>
        <v/>
      </c>
      <c r="AG67" s="18">
        <f>IF(OR(B67&gt;=34, F67=1), 4550000, 3500000)</f>
        <v/>
      </c>
      <c r="AH67" s="18" t="n">
        <v>0.02</v>
      </c>
      <c r="AI67" s="18">
        <f>AVERAGE(J64:J66)</f>
        <v/>
      </c>
      <c r="AJ67" s="18">
        <f>ABS(J67 - AI67)</f>
        <v/>
      </c>
      <c r="AK67" s="18">
        <f>IF(AI67="", 0, IF(AI67&gt;J67, (AI67-J67)*2700000, 0))</f>
        <v/>
      </c>
      <c r="AL67" s="18">
        <f>IF(AI67="", 0, IF(J67&gt;AI67, (J67-AI67)*6000000, 0))</f>
        <v/>
      </c>
      <c r="AM67" s="18">
        <f>AK67 + AL67</f>
        <v/>
      </c>
      <c r="AN67" s="18">
        <f>ABS(AC67 - J67)</f>
        <v/>
      </c>
      <c r="AO67" s="18">
        <f>IF(AC67&gt;J67, (AC67-J67)*2700000, 0)</f>
        <v/>
      </c>
      <c r="AP67" s="18">
        <f>IF(J67&gt;AC67, (J67-AC67)*6000000, 0)</f>
        <v/>
      </c>
      <c r="AQ67" s="18">
        <f>AO67 + AP67 + Z67</f>
        <v/>
      </c>
    </row>
    <row r="68">
      <c r="A68" s="17" t="inlineStr">
        <is>
          <t>Ngày 66 (05/07)</t>
        </is>
      </c>
      <c r="B68" s="18" t="n">
        <v>29.4</v>
      </c>
      <c r="C68" s="18" t="n">
        <v>0</v>
      </c>
      <c r="D68" s="18" t="n">
        <v>1</v>
      </c>
      <c r="E68" s="18" t="n">
        <v>307.5</v>
      </c>
      <c r="F68" s="18" t="n">
        <v>0</v>
      </c>
      <c r="G68" s="18" t="n">
        <v>321.5</v>
      </c>
      <c r="H68" s="18">
        <f>G68*IF(F68=1, 0.85, 0.8)</f>
        <v/>
      </c>
      <c r="I68" s="17" t="inlineStr">
        <is>
          <t>2-4</t>
        </is>
      </c>
      <c r="J68" s="18">
        <f>INT(H68/(18*0.95))</f>
        <v/>
      </c>
      <c r="K68" s="18">
        <f>ROUND(MOD(H68, (18*0.95)), 2)</f>
        <v/>
      </c>
      <c r="L68" s="18">
        <f>IF(K68&gt;0, ROUNDUP(K68/(5*0.95), 0), 0)</f>
        <v/>
      </c>
      <c r="M68" s="18">
        <f>J68+L68</f>
        <v/>
      </c>
      <c r="N68" s="18">
        <f>ROUND(TREND(G$3:G$94, E$3:E$94, E68), 1)</f>
        <v/>
      </c>
      <c r="O68" s="18">
        <f>ROUND(TREND(G$3:G$94, B$3:E$94, B68:E68), 1)</f>
        <v/>
      </c>
      <c r="P68" s="18">
        <f>ROUND(TREND(G$3:G$94, B$3:F$94, B68:F68), 1)</f>
        <v/>
      </c>
      <c r="Q68" s="18">
        <f>P68*IF(F68=1, 0.85, 0.8)</f>
        <v/>
      </c>
      <c r="R68" s="18">
        <f>INT(Q68/(18*0.95))</f>
        <v/>
      </c>
      <c r="S68" s="18">
        <f>ROUND(MOD(Q68, (18*0.95)), 2)</f>
        <v/>
      </c>
      <c r="T68" s="18">
        <f>IF(S68&gt;0, ROUNDUP(S68/(5*0.95), 0), 0)</f>
        <v/>
      </c>
      <c r="U68" s="18">
        <f>R68+T68</f>
        <v/>
      </c>
      <c r="V68" s="18">
        <f>ROUND(R68*70%, 0)</f>
        <v/>
      </c>
      <c r="W68" s="18">
        <f>MIN(ROUNDUP(R68*0.2, 0), MAX(0, R68 - V68))</f>
        <v/>
      </c>
      <c r="X68" s="17">
        <f>IF(C68&gt;20, "Hủy slot (Mưa &gt; 20mm)", "Kích hoạt")</f>
        <v/>
      </c>
      <c r="Y68" s="18">
        <f>IF(C68&gt;20, 0, W68)</f>
        <v/>
      </c>
      <c r="Z68" s="18">
        <f>IF(C68&gt;20, W68*0.2*AF68, 0)</f>
        <v/>
      </c>
      <c r="AA68" s="18">
        <f>MAX(0, J68 - V68 - Y68)</f>
        <v/>
      </c>
      <c r="AB68" s="18">
        <f>L68</f>
        <v/>
      </c>
      <c r="AC68" s="18">
        <f>V68 + Y68 + AA68</f>
        <v/>
      </c>
      <c r="AD68" s="18">
        <f>AC68 + AB68</f>
        <v/>
      </c>
      <c r="AE68" s="18" t="n">
        <v>9</v>
      </c>
      <c r="AF68" s="18">
        <f>IF(OR(B68&gt;=34, F68=1), 11700000, 9000000)</f>
        <v/>
      </c>
      <c r="AG68" s="18">
        <f>IF(OR(B68&gt;=34, F68=1), 4550000, 3500000)</f>
        <v/>
      </c>
      <c r="AH68" s="18" t="n">
        <v>0.02</v>
      </c>
      <c r="AI68" s="18">
        <f>AVERAGE(J65:J67)</f>
        <v/>
      </c>
      <c r="AJ68" s="18">
        <f>ABS(J68 - AI68)</f>
        <v/>
      </c>
      <c r="AK68" s="18">
        <f>IF(AI68="", 0, IF(AI68&gt;J68, (AI68-J68)*2700000, 0))</f>
        <v/>
      </c>
      <c r="AL68" s="18">
        <f>IF(AI68="", 0, IF(J68&gt;AI68, (J68-AI68)*6000000, 0))</f>
        <v/>
      </c>
      <c r="AM68" s="18">
        <f>AK68 + AL68</f>
        <v/>
      </c>
      <c r="AN68" s="18">
        <f>ABS(AC68 - J68)</f>
        <v/>
      </c>
      <c r="AO68" s="18">
        <f>IF(AC68&gt;J68, (AC68-J68)*2700000, 0)</f>
        <v/>
      </c>
      <c r="AP68" s="18">
        <f>IF(J68&gt;AC68, (J68-AC68)*6000000, 0)</f>
        <v/>
      </c>
      <c r="AQ68" s="18">
        <f>AO68 + AP68 + Z68</f>
        <v/>
      </c>
    </row>
    <row r="69">
      <c r="A69" s="17" t="inlineStr">
        <is>
          <t>Ngày 67 (06/07)</t>
        </is>
      </c>
      <c r="B69" s="18" t="n">
        <v>27.5</v>
      </c>
      <c r="C69" s="18" t="n">
        <v>75</v>
      </c>
      <c r="D69" s="18" t="n">
        <v>1</v>
      </c>
      <c r="E69" s="18" t="n">
        <v>339.7</v>
      </c>
      <c r="F69" s="18" t="n">
        <v>0</v>
      </c>
      <c r="G69" s="18" t="n">
        <v>146.3</v>
      </c>
      <c r="H69" s="18">
        <f>G69*IF(F69=1, 0.85, 0.8)</f>
        <v/>
      </c>
      <c r="I69" s="17" t="inlineStr">
        <is>
          <t>2-4</t>
        </is>
      </c>
      <c r="J69" s="18">
        <f>INT(H69/(18*0.95))</f>
        <v/>
      </c>
      <c r="K69" s="18">
        <f>ROUND(MOD(H69, (18*0.95)), 2)</f>
        <v/>
      </c>
      <c r="L69" s="18">
        <f>IF(K69&gt;0, ROUNDUP(K69/(5*0.95), 0), 0)</f>
        <v/>
      </c>
      <c r="M69" s="18">
        <f>J69+L69</f>
        <v/>
      </c>
      <c r="N69" s="18">
        <f>ROUND(TREND(G$3:G$94, E$3:E$94, E69), 1)</f>
        <v/>
      </c>
      <c r="O69" s="18">
        <f>ROUND(TREND(G$3:G$94, B$3:E$94, B69:E69), 1)</f>
        <v/>
      </c>
      <c r="P69" s="18">
        <f>ROUND(TREND(G$3:G$94, B$3:F$94, B69:F69), 1)</f>
        <v/>
      </c>
      <c r="Q69" s="18">
        <f>P69*IF(F69=1, 0.85, 0.8)</f>
        <v/>
      </c>
      <c r="R69" s="18">
        <f>INT(Q69/(18*0.95))</f>
        <v/>
      </c>
      <c r="S69" s="18">
        <f>ROUND(MOD(Q69, (18*0.95)), 2)</f>
        <v/>
      </c>
      <c r="T69" s="18">
        <f>IF(S69&gt;0, ROUNDUP(S69/(5*0.95), 0), 0)</f>
        <v/>
      </c>
      <c r="U69" s="18">
        <f>R69+T69</f>
        <v/>
      </c>
      <c r="V69" s="18">
        <f>ROUND(R69*70%, 0)</f>
        <v/>
      </c>
      <c r="W69" s="18">
        <f>MIN(ROUNDUP(R69*0.2, 0), MAX(0, R69 - V69))</f>
        <v/>
      </c>
      <c r="X69" s="17">
        <f>IF(C69&gt;20, "Hủy slot (Mưa &gt; 20mm)", "Kích hoạt")</f>
        <v/>
      </c>
      <c r="Y69" s="18">
        <f>IF(C69&gt;20, 0, W69)</f>
        <v/>
      </c>
      <c r="Z69" s="18">
        <f>IF(C69&gt;20, W69*0.2*AF69, 0)</f>
        <v/>
      </c>
      <c r="AA69" s="18">
        <f>MAX(0, J69 - V69 - Y69)</f>
        <v/>
      </c>
      <c r="AB69" s="18">
        <f>L69</f>
        <v/>
      </c>
      <c r="AC69" s="18">
        <f>V69 + Y69 + AA69</f>
        <v/>
      </c>
      <c r="AD69" s="18">
        <f>AC69 + AB69</f>
        <v/>
      </c>
      <c r="AE69" s="18" t="n">
        <v>9</v>
      </c>
      <c r="AF69" s="18">
        <f>IF(OR(B69&gt;=34, F69=1), 11700000, 9000000)</f>
        <v/>
      </c>
      <c r="AG69" s="18">
        <f>IF(OR(B69&gt;=34, F69=1), 4550000, 3500000)</f>
        <v/>
      </c>
      <c r="AH69" s="18" t="n">
        <v>0.02</v>
      </c>
      <c r="AI69" s="18">
        <f>AVERAGE(J66:J68)</f>
        <v/>
      </c>
      <c r="AJ69" s="18">
        <f>ABS(J69 - AI69)</f>
        <v/>
      </c>
      <c r="AK69" s="18">
        <f>IF(AI69="", 0, IF(AI69&gt;J69, (AI69-J69)*2700000, 0))</f>
        <v/>
      </c>
      <c r="AL69" s="18">
        <f>IF(AI69="", 0, IF(J69&gt;AI69, (J69-AI69)*6000000, 0))</f>
        <v/>
      </c>
      <c r="AM69" s="18">
        <f>AK69 + AL69</f>
        <v/>
      </c>
      <c r="AN69" s="18">
        <f>ABS(AC69 - J69)</f>
        <v/>
      </c>
      <c r="AO69" s="18">
        <f>IF(AC69&gt;J69, (AC69-J69)*2700000, 0)</f>
        <v/>
      </c>
      <c r="AP69" s="18">
        <f>IF(J69&gt;AC69, (J69-AC69)*6000000, 0)</f>
        <v/>
      </c>
      <c r="AQ69" s="18">
        <f>AO69 + AP69 + Z69</f>
        <v/>
      </c>
    </row>
    <row r="70">
      <c r="A70" s="17" t="inlineStr">
        <is>
          <t>Ngày 68 (07/07)</t>
        </is>
      </c>
      <c r="B70" s="18" t="n">
        <v>28.1</v>
      </c>
      <c r="C70" s="18" t="n">
        <v>0</v>
      </c>
      <c r="D70" s="18" t="n">
        <v>1</v>
      </c>
      <c r="E70" s="18" t="n">
        <v>245.3</v>
      </c>
      <c r="F70" s="18" t="n">
        <v>0</v>
      </c>
      <c r="G70" s="18" t="n">
        <v>277.4</v>
      </c>
      <c r="H70" s="18">
        <f>G70*IF(F70=1, 0.85, 0.8)</f>
        <v/>
      </c>
      <c r="I70" s="17" t="inlineStr">
        <is>
          <t>2-4</t>
        </is>
      </c>
      <c r="J70" s="18">
        <f>INT(H70/(18*0.95))</f>
        <v/>
      </c>
      <c r="K70" s="18">
        <f>ROUND(MOD(H70, (18*0.95)), 2)</f>
        <v/>
      </c>
      <c r="L70" s="18">
        <f>IF(K70&gt;0, ROUNDUP(K70/(5*0.95), 0), 0)</f>
        <v/>
      </c>
      <c r="M70" s="18">
        <f>J70+L70</f>
        <v/>
      </c>
      <c r="N70" s="18">
        <f>ROUND(TREND(G$3:G$94, E$3:E$94, E70), 1)</f>
        <v/>
      </c>
      <c r="O70" s="18">
        <f>ROUND(TREND(G$3:G$94, B$3:E$94, B70:E70), 1)</f>
        <v/>
      </c>
      <c r="P70" s="18">
        <f>ROUND(TREND(G$3:G$94, B$3:F$94, B70:F70), 1)</f>
        <v/>
      </c>
      <c r="Q70" s="18">
        <f>P70*IF(F70=1, 0.85, 0.8)</f>
        <v/>
      </c>
      <c r="R70" s="18">
        <f>INT(Q70/(18*0.95))</f>
        <v/>
      </c>
      <c r="S70" s="18">
        <f>ROUND(MOD(Q70, (18*0.95)), 2)</f>
        <v/>
      </c>
      <c r="T70" s="18">
        <f>IF(S70&gt;0, ROUNDUP(S70/(5*0.95), 0), 0)</f>
        <v/>
      </c>
      <c r="U70" s="18">
        <f>R70+T70</f>
        <v/>
      </c>
      <c r="V70" s="18">
        <f>ROUND(R70*70%, 0)</f>
        <v/>
      </c>
      <c r="W70" s="18">
        <f>MIN(ROUNDUP(R70*0.2, 0), MAX(0, R70 - V70))</f>
        <v/>
      </c>
      <c r="X70" s="17">
        <f>IF(C70&gt;20, "Hủy slot (Mưa &gt; 20mm)", "Kích hoạt")</f>
        <v/>
      </c>
      <c r="Y70" s="18">
        <f>IF(C70&gt;20, 0, W70)</f>
        <v/>
      </c>
      <c r="Z70" s="18">
        <f>IF(C70&gt;20, W70*0.2*AF70, 0)</f>
        <v/>
      </c>
      <c r="AA70" s="18">
        <f>MAX(0, J70 - V70 - Y70)</f>
        <v/>
      </c>
      <c r="AB70" s="18">
        <f>L70</f>
        <v/>
      </c>
      <c r="AC70" s="18">
        <f>V70 + Y70 + AA70</f>
        <v/>
      </c>
      <c r="AD70" s="18">
        <f>AC70 + AB70</f>
        <v/>
      </c>
      <c r="AE70" s="18" t="n">
        <v>9</v>
      </c>
      <c r="AF70" s="18">
        <f>IF(OR(B70&gt;=34, F70=1), 11700000, 9000000)</f>
        <v/>
      </c>
      <c r="AG70" s="18">
        <f>IF(OR(B70&gt;=34, F70=1), 4550000, 3500000)</f>
        <v/>
      </c>
      <c r="AH70" s="18" t="n">
        <v>0.02</v>
      </c>
      <c r="AI70" s="18">
        <f>AVERAGE(J67:J69)</f>
        <v/>
      </c>
      <c r="AJ70" s="18">
        <f>ABS(J70 - AI70)</f>
        <v/>
      </c>
      <c r="AK70" s="18">
        <f>IF(AI70="", 0, IF(AI70&gt;J70, (AI70-J70)*2700000, 0))</f>
        <v/>
      </c>
      <c r="AL70" s="18">
        <f>IF(AI70="", 0, IF(J70&gt;AI70, (J70-AI70)*6000000, 0))</f>
        <v/>
      </c>
      <c r="AM70" s="18">
        <f>AK70 + AL70</f>
        <v/>
      </c>
      <c r="AN70" s="18">
        <f>ABS(AC70 - J70)</f>
        <v/>
      </c>
      <c r="AO70" s="18">
        <f>IF(AC70&gt;J70, (AC70-J70)*2700000, 0)</f>
        <v/>
      </c>
      <c r="AP70" s="18">
        <f>IF(J70&gt;AC70, (J70-AC70)*6000000, 0)</f>
        <v/>
      </c>
      <c r="AQ70" s="18">
        <f>AO70 + AP70 + Z70</f>
        <v/>
      </c>
    </row>
    <row r="71">
      <c r="A71" s="17" t="inlineStr">
        <is>
          <t>Ngày 69 (08/07)</t>
        </is>
      </c>
      <c r="B71" s="18" t="n">
        <v>28.6</v>
      </c>
      <c r="C71" s="18" t="n">
        <v>0</v>
      </c>
      <c r="D71" s="18" t="n">
        <v>1</v>
      </c>
      <c r="E71" s="18" t="n">
        <v>242.4</v>
      </c>
      <c r="F71" s="18" t="n">
        <v>0</v>
      </c>
      <c r="G71" s="18" t="n">
        <v>266.9</v>
      </c>
      <c r="H71" s="18">
        <f>G71*IF(F71=1, 0.85, 0.8)</f>
        <v/>
      </c>
      <c r="I71" s="17" t="inlineStr">
        <is>
          <t>2-4</t>
        </is>
      </c>
      <c r="J71" s="18">
        <f>INT(H71/(18*0.95))</f>
        <v/>
      </c>
      <c r="K71" s="18">
        <f>ROUND(MOD(H71, (18*0.95)), 2)</f>
        <v/>
      </c>
      <c r="L71" s="18">
        <f>IF(K71&gt;0, ROUNDUP(K71/(5*0.95), 0), 0)</f>
        <v/>
      </c>
      <c r="M71" s="18">
        <f>J71+L71</f>
        <v/>
      </c>
      <c r="N71" s="18">
        <f>ROUND(TREND(G$3:G$94, E$3:E$94, E71), 1)</f>
        <v/>
      </c>
      <c r="O71" s="18">
        <f>ROUND(TREND(G$3:G$94, B$3:E$94, B71:E71), 1)</f>
        <v/>
      </c>
      <c r="P71" s="18">
        <f>ROUND(TREND(G$3:G$94, B$3:F$94, B71:F71), 1)</f>
        <v/>
      </c>
      <c r="Q71" s="18">
        <f>P71*IF(F71=1, 0.85, 0.8)</f>
        <v/>
      </c>
      <c r="R71" s="18">
        <f>INT(Q71/(18*0.95))</f>
        <v/>
      </c>
      <c r="S71" s="18">
        <f>ROUND(MOD(Q71, (18*0.95)), 2)</f>
        <v/>
      </c>
      <c r="T71" s="18">
        <f>IF(S71&gt;0, ROUNDUP(S71/(5*0.95), 0), 0)</f>
        <v/>
      </c>
      <c r="U71" s="18">
        <f>R71+T71</f>
        <v/>
      </c>
      <c r="V71" s="18">
        <f>ROUND(R71*70%, 0)</f>
        <v/>
      </c>
      <c r="W71" s="18">
        <f>MIN(ROUNDUP(R71*0.2, 0), MAX(0, R71 - V71))</f>
        <v/>
      </c>
      <c r="X71" s="17">
        <f>IF(C71&gt;20, "Hủy slot (Mưa &gt; 20mm)", "Kích hoạt")</f>
        <v/>
      </c>
      <c r="Y71" s="18">
        <f>IF(C71&gt;20, 0, W71)</f>
        <v/>
      </c>
      <c r="Z71" s="18">
        <f>IF(C71&gt;20, W71*0.2*AF71, 0)</f>
        <v/>
      </c>
      <c r="AA71" s="18">
        <f>MAX(0, J71 - V71 - Y71)</f>
        <v/>
      </c>
      <c r="AB71" s="18">
        <f>L71</f>
        <v/>
      </c>
      <c r="AC71" s="18">
        <f>V71 + Y71 + AA71</f>
        <v/>
      </c>
      <c r="AD71" s="18">
        <f>AC71 + AB71</f>
        <v/>
      </c>
      <c r="AE71" s="18" t="n">
        <v>9</v>
      </c>
      <c r="AF71" s="18">
        <f>IF(OR(B71&gt;=34, F71=1), 11700000, 9000000)</f>
        <v/>
      </c>
      <c r="AG71" s="18">
        <f>IF(OR(B71&gt;=34, F71=1), 4550000, 3500000)</f>
        <v/>
      </c>
      <c r="AH71" s="18" t="n">
        <v>0.02</v>
      </c>
      <c r="AI71" s="18">
        <f>AVERAGE(J68:J70)</f>
        <v/>
      </c>
      <c r="AJ71" s="18">
        <f>ABS(J71 - AI71)</f>
        <v/>
      </c>
      <c r="AK71" s="18">
        <f>IF(AI71="", 0, IF(AI71&gt;J71, (AI71-J71)*2700000, 0))</f>
        <v/>
      </c>
      <c r="AL71" s="18">
        <f>IF(AI71="", 0, IF(J71&gt;AI71, (J71-AI71)*6000000, 0))</f>
        <v/>
      </c>
      <c r="AM71" s="18">
        <f>AK71 + AL71</f>
        <v/>
      </c>
      <c r="AN71" s="18">
        <f>ABS(AC71 - J71)</f>
        <v/>
      </c>
      <c r="AO71" s="18">
        <f>IF(AC71&gt;J71, (AC71-J71)*2700000, 0)</f>
        <v/>
      </c>
      <c r="AP71" s="18">
        <f>IF(J71&gt;AC71, (J71-AC71)*6000000, 0)</f>
        <v/>
      </c>
      <c r="AQ71" s="18">
        <f>AO71 + AP71 + Z71</f>
        <v/>
      </c>
    </row>
    <row r="72">
      <c r="A72" s="17" t="inlineStr">
        <is>
          <t>Ngày 70 (09/07)</t>
        </is>
      </c>
      <c r="B72" s="18" t="n">
        <v>31.1</v>
      </c>
      <c r="C72" s="18" t="n">
        <v>0</v>
      </c>
      <c r="D72" s="18" t="n">
        <v>1</v>
      </c>
      <c r="E72" s="18" t="n">
        <v>260.7</v>
      </c>
      <c r="F72" s="18" t="n">
        <v>1</v>
      </c>
      <c r="G72" s="18" t="n">
        <v>298</v>
      </c>
      <c r="H72" s="18">
        <f>G72*IF(F72=1, 0.85, 0.8)</f>
        <v/>
      </c>
      <c r="I72" s="17" t="inlineStr">
        <is>
          <t>2-4</t>
        </is>
      </c>
      <c r="J72" s="18">
        <f>INT(H72/(18*0.95))</f>
        <v/>
      </c>
      <c r="K72" s="18">
        <f>ROUND(MOD(H72, (18*0.95)), 2)</f>
        <v/>
      </c>
      <c r="L72" s="18">
        <f>IF(K72&gt;0, ROUNDUP(K72/(5*0.95), 0), 0)</f>
        <v/>
      </c>
      <c r="M72" s="18">
        <f>J72+L72</f>
        <v/>
      </c>
      <c r="N72" s="18">
        <f>ROUND(TREND(G$3:G$94, E$3:E$94, E72), 1)</f>
        <v/>
      </c>
      <c r="O72" s="18">
        <f>ROUND(TREND(G$3:G$94, B$3:E$94, B72:E72), 1)</f>
        <v/>
      </c>
      <c r="P72" s="18">
        <f>ROUND(TREND(G$3:G$94, B$3:F$94, B72:F72), 1)</f>
        <v/>
      </c>
      <c r="Q72" s="18">
        <f>P72*IF(F72=1, 0.85, 0.8)</f>
        <v/>
      </c>
      <c r="R72" s="18">
        <f>INT(Q72/(18*0.95))</f>
        <v/>
      </c>
      <c r="S72" s="18">
        <f>ROUND(MOD(Q72, (18*0.95)), 2)</f>
        <v/>
      </c>
      <c r="T72" s="18">
        <f>IF(S72&gt;0, ROUNDUP(S72/(5*0.95), 0), 0)</f>
        <v/>
      </c>
      <c r="U72" s="18">
        <f>R72+T72</f>
        <v/>
      </c>
      <c r="V72" s="18">
        <f>ROUND(R72*70%, 0)</f>
        <v/>
      </c>
      <c r="W72" s="18">
        <f>MIN(ROUNDUP(R72*0.2, 0), MAX(0, R72 - V72))</f>
        <v/>
      </c>
      <c r="X72" s="17">
        <f>IF(C72&gt;20, "Hủy slot (Mưa &gt; 20mm)", "Kích hoạt")</f>
        <v/>
      </c>
      <c r="Y72" s="18">
        <f>IF(C72&gt;20, 0, W72)</f>
        <v/>
      </c>
      <c r="Z72" s="18">
        <f>IF(C72&gt;20, W72*0.2*AF72, 0)</f>
        <v/>
      </c>
      <c r="AA72" s="18">
        <f>MAX(0, J72 - V72 - Y72)</f>
        <v/>
      </c>
      <c r="AB72" s="18">
        <f>L72</f>
        <v/>
      </c>
      <c r="AC72" s="18">
        <f>V72 + Y72 + AA72</f>
        <v/>
      </c>
      <c r="AD72" s="18">
        <f>AC72 + AB72</f>
        <v/>
      </c>
      <c r="AE72" s="18" t="n">
        <v>9</v>
      </c>
      <c r="AF72" s="18">
        <f>IF(OR(B72&gt;=34, F72=1), 11700000, 9000000)</f>
        <v/>
      </c>
      <c r="AG72" s="18">
        <f>IF(OR(B72&gt;=34, F72=1), 4550000, 3500000)</f>
        <v/>
      </c>
      <c r="AH72" s="18" t="n">
        <v>0.02</v>
      </c>
      <c r="AI72" s="18">
        <f>AVERAGE(J69:J71)</f>
        <v/>
      </c>
      <c r="AJ72" s="18">
        <f>ABS(J72 - AI72)</f>
        <v/>
      </c>
      <c r="AK72" s="18">
        <f>IF(AI72="", 0, IF(AI72&gt;J72, (AI72-J72)*2700000, 0))</f>
        <v/>
      </c>
      <c r="AL72" s="18">
        <f>IF(AI72="", 0, IF(J72&gt;AI72, (J72-AI72)*6000000, 0))</f>
        <v/>
      </c>
      <c r="AM72" s="18">
        <f>AK72 + AL72</f>
        <v/>
      </c>
      <c r="AN72" s="18">
        <f>ABS(AC72 - J72)</f>
        <v/>
      </c>
      <c r="AO72" s="18">
        <f>IF(AC72&gt;J72, (AC72-J72)*2700000, 0)</f>
        <v/>
      </c>
      <c r="AP72" s="18">
        <f>IF(J72&gt;AC72, (J72-AC72)*6000000, 0)</f>
        <v/>
      </c>
      <c r="AQ72" s="18">
        <f>AO72 + AP72 + Z72</f>
        <v/>
      </c>
    </row>
    <row r="73">
      <c r="A73" s="17" t="inlineStr">
        <is>
          <t>Ngày 71 (10/07)</t>
        </is>
      </c>
      <c r="B73" s="18" t="n">
        <v>29</v>
      </c>
      <c r="C73" s="18" t="n">
        <v>15</v>
      </c>
      <c r="D73" s="18" t="n">
        <v>1</v>
      </c>
      <c r="E73" s="18" t="n">
        <v>284.8</v>
      </c>
      <c r="F73" s="18" t="n">
        <v>1</v>
      </c>
      <c r="G73" s="18" t="n">
        <v>270.1</v>
      </c>
      <c r="H73" s="18">
        <f>G73*IF(F73=1, 0.85, 0.8)</f>
        <v/>
      </c>
      <c r="I73" s="17" t="inlineStr">
        <is>
          <t>2-4</t>
        </is>
      </c>
      <c r="J73" s="18">
        <f>INT(H73/(18*0.95))</f>
        <v/>
      </c>
      <c r="K73" s="18">
        <f>ROUND(MOD(H73, (18*0.95)), 2)</f>
        <v/>
      </c>
      <c r="L73" s="18">
        <f>IF(K73&gt;0, ROUNDUP(K73/(5*0.95), 0), 0)</f>
        <v/>
      </c>
      <c r="M73" s="18">
        <f>J73+L73</f>
        <v/>
      </c>
      <c r="N73" s="18">
        <f>ROUND(TREND(G$3:G$94, E$3:E$94, E73), 1)</f>
        <v/>
      </c>
      <c r="O73" s="18">
        <f>ROUND(TREND(G$3:G$94, B$3:E$94, B73:E73), 1)</f>
        <v/>
      </c>
      <c r="P73" s="18">
        <f>ROUND(TREND(G$3:G$94, B$3:F$94, B73:F73), 1)</f>
        <v/>
      </c>
      <c r="Q73" s="18">
        <f>P73*IF(F73=1, 0.85, 0.8)</f>
        <v/>
      </c>
      <c r="R73" s="18">
        <f>INT(Q73/(18*0.95))</f>
        <v/>
      </c>
      <c r="S73" s="18">
        <f>ROUND(MOD(Q73, (18*0.95)), 2)</f>
        <v/>
      </c>
      <c r="T73" s="18">
        <f>IF(S73&gt;0, ROUNDUP(S73/(5*0.95), 0), 0)</f>
        <v/>
      </c>
      <c r="U73" s="18">
        <f>R73+T73</f>
        <v/>
      </c>
      <c r="V73" s="18">
        <f>ROUND(R73*70%, 0)</f>
        <v/>
      </c>
      <c r="W73" s="18">
        <f>MIN(ROUNDUP(R73*0.2, 0), MAX(0, R73 - V73))</f>
        <v/>
      </c>
      <c r="X73" s="17">
        <f>IF(C73&gt;20, "Hủy slot (Mưa &gt; 20mm)", "Kích hoạt")</f>
        <v/>
      </c>
      <c r="Y73" s="18">
        <f>IF(C73&gt;20, 0, W73)</f>
        <v/>
      </c>
      <c r="Z73" s="18">
        <f>IF(C73&gt;20, W73*0.2*AF73, 0)</f>
        <v/>
      </c>
      <c r="AA73" s="18">
        <f>MAX(0, J73 - V73 - Y73)</f>
        <v/>
      </c>
      <c r="AB73" s="18">
        <f>L73</f>
        <v/>
      </c>
      <c r="AC73" s="18">
        <f>V73 + Y73 + AA73</f>
        <v/>
      </c>
      <c r="AD73" s="18">
        <f>AC73 + AB73</f>
        <v/>
      </c>
      <c r="AE73" s="18" t="n">
        <v>9</v>
      </c>
      <c r="AF73" s="18">
        <f>IF(OR(B73&gt;=34, F73=1), 11700000, 9000000)</f>
        <v/>
      </c>
      <c r="AG73" s="18">
        <f>IF(OR(B73&gt;=34, F73=1), 4550000, 3500000)</f>
        <v/>
      </c>
      <c r="AH73" s="18" t="n">
        <v>0.02</v>
      </c>
      <c r="AI73" s="18">
        <f>AVERAGE(J70:J72)</f>
        <v/>
      </c>
      <c r="AJ73" s="18">
        <f>ABS(J73 - AI73)</f>
        <v/>
      </c>
      <c r="AK73" s="18">
        <f>IF(AI73="", 0, IF(AI73&gt;J73, (AI73-J73)*2700000, 0))</f>
        <v/>
      </c>
      <c r="AL73" s="18">
        <f>IF(AI73="", 0, IF(J73&gt;AI73, (J73-AI73)*6000000, 0))</f>
        <v/>
      </c>
      <c r="AM73" s="18">
        <f>AK73 + AL73</f>
        <v/>
      </c>
      <c r="AN73" s="18">
        <f>ABS(AC73 - J73)</f>
        <v/>
      </c>
      <c r="AO73" s="18">
        <f>IF(AC73&gt;J73, (AC73-J73)*2700000, 0)</f>
        <v/>
      </c>
      <c r="AP73" s="18">
        <f>IF(J73&gt;AC73, (J73-AC73)*6000000, 0)</f>
        <v/>
      </c>
      <c r="AQ73" s="18">
        <f>AO73 + AP73 + Z73</f>
        <v/>
      </c>
    </row>
    <row r="74">
      <c r="A74" s="17" t="inlineStr">
        <is>
          <t>Ngày 72 (11/07)</t>
        </is>
      </c>
      <c r="B74" s="18" t="n">
        <v>32.2</v>
      </c>
      <c r="C74" s="18" t="n">
        <v>0</v>
      </c>
      <c r="D74" s="18" t="n">
        <v>1</v>
      </c>
      <c r="E74" s="18" t="n">
        <v>235.6</v>
      </c>
      <c r="F74" s="18" t="n">
        <v>0</v>
      </c>
      <c r="G74" s="18" t="n">
        <v>235.9</v>
      </c>
      <c r="H74" s="18">
        <f>G74*IF(F74=1, 0.85, 0.8)</f>
        <v/>
      </c>
      <c r="I74" s="17" t="inlineStr">
        <is>
          <t>2-4</t>
        </is>
      </c>
      <c r="J74" s="18">
        <f>INT(H74/(18*0.95))</f>
        <v/>
      </c>
      <c r="K74" s="18">
        <f>ROUND(MOD(H74, (18*0.95)), 2)</f>
        <v/>
      </c>
      <c r="L74" s="18">
        <f>IF(K74&gt;0, ROUNDUP(K74/(5*0.95), 0), 0)</f>
        <v/>
      </c>
      <c r="M74" s="18">
        <f>J74+L74</f>
        <v/>
      </c>
      <c r="N74" s="18">
        <f>ROUND(TREND(G$3:G$94, E$3:E$94, E74), 1)</f>
        <v/>
      </c>
      <c r="O74" s="18">
        <f>ROUND(TREND(G$3:G$94, B$3:E$94, B74:E74), 1)</f>
        <v/>
      </c>
      <c r="P74" s="18">
        <f>ROUND(TREND(G$3:G$94, B$3:F$94, B74:F74), 1)</f>
        <v/>
      </c>
      <c r="Q74" s="18">
        <f>P74*IF(F74=1, 0.85, 0.8)</f>
        <v/>
      </c>
      <c r="R74" s="18">
        <f>INT(Q74/(18*0.95))</f>
        <v/>
      </c>
      <c r="S74" s="18">
        <f>ROUND(MOD(Q74, (18*0.95)), 2)</f>
        <v/>
      </c>
      <c r="T74" s="18">
        <f>IF(S74&gt;0, ROUNDUP(S74/(5*0.95), 0), 0)</f>
        <v/>
      </c>
      <c r="U74" s="18">
        <f>R74+T74</f>
        <v/>
      </c>
      <c r="V74" s="18">
        <f>ROUND(R74*70%, 0)</f>
        <v/>
      </c>
      <c r="W74" s="18">
        <f>MIN(ROUNDUP(R74*0.2, 0), MAX(0, R74 - V74))</f>
        <v/>
      </c>
      <c r="X74" s="17">
        <f>IF(C74&gt;20, "Hủy slot (Mưa &gt; 20mm)", "Kích hoạt")</f>
        <v/>
      </c>
      <c r="Y74" s="18">
        <f>IF(C74&gt;20, 0, W74)</f>
        <v/>
      </c>
      <c r="Z74" s="18">
        <f>IF(C74&gt;20, W74*0.2*AF74, 0)</f>
        <v/>
      </c>
      <c r="AA74" s="18">
        <f>MAX(0, J74 - V74 - Y74)</f>
        <v/>
      </c>
      <c r="AB74" s="18">
        <f>L74</f>
        <v/>
      </c>
      <c r="AC74" s="18">
        <f>V74 + Y74 + AA74</f>
        <v/>
      </c>
      <c r="AD74" s="18">
        <f>AC74 + AB74</f>
        <v/>
      </c>
      <c r="AE74" s="18" t="n">
        <v>9</v>
      </c>
      <c r="AF74" s="18">
        <f>IF(OR(B74&gt;=34, F74=1), 11700000, 9000000)</f>
        <v/>
      </c>
      <c r="AG74" s="18">
        <f>IF(OR(B74&gt;=34, F74=1), 4550000, 3500000)</f>
        <v/>
      </c>
      <c r="AH74" s="18" t="n">
        <v>0.02</v>
      </c>
      <c r="AI74" s="18">
        <f>AVERAGE(J71:J73)</f>
        <v/>
      </c>
      <c r="AJ74" s="18">
        <f>ABS(J74 - AI74)</f>
        <v/>
      </c>
      <c r="AK74" s="18">
        <f>IF(AI74="", 0, IF(AI74&gt;J74, (AI74-J74)*2700000, 0))</f>
        <v/>
      </c>
      <c r="AL74" s="18">
        <f>IF(AI74="", 0, IF(J74&gt;AI74, (J74-AI74)*6000000, 0))</f>
        <v/>
      </c>
      <c r="AM74" s="18">
        <f>AK74 + AL74</f>
        <v/>
      </c>
      <c r="AN74" s="18">
        <f>ABS(AC74 - J74)</f>
        <v/>
      </c>
      <c r="AO74" s="18">
        <f>IF(AC74&gt;J74, (AC74-J74)*2700000, 0)</f>
        <v/>
      </c>
      <c r="AP74" s="18">
        <f>IF(J74&gt;AC74, (J74-AC74)*6000000, 0)</f>
        <v/>
      </c>
      <c r="AQ74" s="18">
        <f>AO74 + AP74 + Z74</f>
        <v/>
      </c>
    </row>
    <row r="75">
      <c r="A75" s="17" t="inlineStr">
        <is>
          <t>Ngày 73 (12/07)</t>
        </is>
      </c>
      <c r="B75" s="18" t="n">
        <v>29.1</v>
      </c>
      <c r="C75" s="18" t="n">
        <v>0</v>
      </c>
      <c r="D75" s="18" t="n">
        <v>1</v>
      </c>
      <c r="E75" s="18" t="n">
        <v>215.4</v>
      </c>
      <c r="F75" s="18" t="n">
        <v>0</v>
      </c>
      <c r="G75" s="18" t="n">
        <v>223.7</v>
      </c>
      <c r="H75" s="18">
        <f>G75*IF(F75=1, 0.85, 0.8)</f>
        <v/>
      </c>
      <c r="I75" s="17" t="inlineStr">
        <is>
          <t>2-4</t>
        </is>
      </c>
      <c r="J75" s="18">
        <f>INT(H75/(18*0.95))</f>
        <v/>
      </c>
      <c r="K75" s="18">
        <f>ROUND(MOD(H75, (18*0.95)), 2)</f>
        <v/>
      </c>
      <c r="L75" s="18">
        <f>IF(K75&gt;0, ROUNDUP(K75/(5*0.95), 0), 0)</f>
        <v/>
      </c>
      <c r="M75" s="18">
        <f>J75+L75</f>
        <v/>
      </c>
      <c r="N75" s="18">
        <f>ROUND(TREND(G$3:G$94, E$3:E$94, E75), 1)</f>
        <v/>
      </c>
      <c r="O75" s="18">
        <f>ROUND(TREND(G$3:G$94, B$3:E$94, B75:E75), 1)</f>
        <v/>
      </c>
      <c r="P75" s="18">
        <f>ROUND(TREND(G$3:G$94, B$3:F$94, B75:F75), 1)</f>
        <v/>
      </c>
      <c r="Q75" s="18">
        <f>P75*IF(F75=1, 0.85, 0.8)</f>
        <v/>
      </c>
      <c r="R75" s="18">
        <f>INT(Q75/(18*0.95))</f>
        <v/>
      </c>
      <c r="S75" s="18">
        <f>ROUND(MOD(Q75, (18*0.95)), 2)</f>
        <v/>
      </c>
      <c r="T75" s="18">
        <f>IF(S75&gt;0, ROUNDUP(S75/(5*0.95), 0), 0)</f>
        <v/>
      </c>
      <c r="U75" s="18">
        <f>R75+T75</f>
        <v/>
      </c>
      <c r="V75" s="18">
        <f>ROUND(R75*70%, 0)</f>
        <v/>
      </c>
      <c r="W75" s="18">
        <f>MIN(ROUNDUP(R75*0.2, 0), MAX(0, R75 - V75))</f>
        <v/>
      </c>
      <c r="X75" s="17">
        <f>IF(C75&gt;20, "Hủy slot (Mưa &gt; 20mm)", "Kích hoạt")</f>
        <v/>
      </c>
      <c r="Y75" s="18">
        <f>IF(C75&gt;20, 0, W75)</f>
        <v/>
      </c>
      <c r="Z75" s="18">
        <f>IF(C75&gt;20, W75*0.2*AF75, 0)</f>
        <v/>
      </c>
      <c r="AA75" s="18">
        <f>MAX(0, J75 - V75 - Y75)</f>
        <v/>
      </c>
      <c r="AB75" s="18">
        <f>L75</f>
        <v/>
      </c>
      <c r="AC75" s="18">
        <f>V75 + Y75 + AA75</f>
        <v/>
      </c>
      <c r="AD75" s="18">
        <f>AC75 + AB75</f>
        <v/>
      </c>
      <c r="AE75" s="18" t="n">
        <v>9</v>
      </c>
      <c r="AF75" s="18">
        <f>IF(OR(B75&gt;=34, F75=1), 11700000, 9000000)</f>
        <v/>
      </c>
      <c r="AG75" s="18">
        <f>IF(OR(B75&gt;=34, F75=1), 4550000, 3500000)</f>
        <v/>
      </c>
      <c r="AH75" s="18" t="n">
        <v>0.02</v>
      </c>
      <c r="AI75" s="18">
        <f>AVERAGE(J72:J74)</f>
        <v/>
      </c>
      <c r="AJ75" s="18">
        <f>ABS(J75 - AI75)</f>
        <v/>
      </c>
      <c r="AK75" s="18">
        <f>IF(AI75="", 0, IF(AI75&gt;J75, (AI75-J75)*2700000, 0))</f>
        <v/>
      </c>
      <c r="AL75" s="18">
        <f>IF(AI75="", 0, IF(J75&gt;AI75, (J75-AI75)*6000000, 0))</f>
        <v/>
      </c>
      <c r="AM75" s="18">
        <f>AK75 + AL75</f>
        <v/>
      </c>
      <c r="AN75" s="18">
        <f>ABS(AC75 - J75)</f>
        <v/>
      </c>
      <c r="AO75" s="18">
        <f>IF(AC75&gt;J75, (AC75-J75)*2700000, 0)</f>
        <v/>
      </c>
      <c r="AP75" s="18">
        <f>IF(J75&gt;AC75, (J75-AC75)*6000000, 0)</f>
        <v/>
      </c>
      <c r="AQ75" s="18">
        <f>AO75 + AP75 + Z75</f>
        <v/>
      </c>
    </row>
    <row r="76">
      <c r="A76" s="17" t="inlineStr">
        <is>
          <t>Ngày 74 (13/07)</t>
        </is>
      </c>
      <c r="B76" s="18" t="n">
        <v>31.1</v>
      </c>
      <c r="C76" s="18" t="n">
        <v>0</v>
      </c>
      <c r="D76" s="18" t="n">
        <v>1</v>
      </c>
      <c r="E76" s="18" t="n">
        <v>199.4</v>
      </c>
      <c r="F76" s="18" t="n">
        <v>0</v>
      </c>
      <c r="G76" s="18" t="n">
        <v>203.3</v>
      </c>
      <c r="H76" s="18">
        <f>G76*IF(F76=1, 0.85, 0.8)</f>
        <v/>
      </c>
      <c r="I76" s="17" t="inlineStr">
        <is>
          <t>2-4</t>
        </is>
      </c>
      <c r="J76" s="18">
        <f>INT(H76/(18*0.95))</f>
        <v/>
      </c>
      <c r="K76" s="18">
        <f>ROUND(MOD(H76, (18*0.95)), 2)</f>
        <v/>
      </c>
      <c r="L76" s="18">
        <f>IF(K76&gt;0, ROUNDUP(K76/(5*0.95), 0), 0)</f>
        <v/>
      </c>
      <c r="M76" s="18">
        <f>J76+L76</f>
        <v/>
      </c>
      <c r="N76" s="18">
        <f>ROUND(TREND(G$3:G$94, E$3:E$94, E76), 1)</f>
        <v/>
      </c>
      <c r="O76" s="18">
        <f>ROUND(TREND(G$3:G$94, B$3:E$94, B76:E76), 1)</f>
        <v/>
      </c>
      <c r="P76" s="18">
        <f>ROUND(TREND(G$3:G$94, B$3:F$94, B76:F76), 1)</f>
        <v/>
      </c>
      <c r="Q76" s="18">
        <f>P76*IF(F76=1, 0.85, 0.8)</f>
        <v/>
      </c>
      <c r="R76" s="18">
        <f>INT(Q76/(18*0.95))</f>
        <v/>
      </c>
      <c r="S76" s="18">
        <f>ROUND(MOD(Q76, (18*0.95)), 2)</f>
        <v/>
      </c>
      <c r="T76" s="18">
        <f>IF(S76&gt;0, ROUNDUP(S76/(5*0.95), 0), 0)</f>
        <v/>
      </c>
      <c r="U76" s="18">
        <f>R76+T76</f>
        <v/>
      </c>
      <c r="V76" s="18">
        <f>ROUND(R76*70%, 0)</f>
        <v/>
      </c>
      <c r="W76" s="18">
        <f>MIN(ROUNDUP(R76*0.2, 0), MAX(0, R76 - V76))</f>
        <v/>
      </c>
      <c r="X76" s="17">
        <f>IF(C76&gt;20, "Hủy slot (Mưa &gt; 20mm)", "Kích hoạt")</f>
        <v/>
      </c>
      <c r="Y76" s="18">
        <f>IF(C76&gt;20, 0, W76)</f>
        <v/>
      </c>
      <c r="Z76" s="18">
        <f>IF(C76&gt;20, W76*0.2*AF76, 0)</f>
        <v/>
      </c>
      <c r="AA76" s="18">
        <f>MAX(0, J76 - V76 - Y76)</f>
        <v/>
      </c>
      <c r="AB76" s="18">
        <f>L76</f>
        <v/>
      </c>
      <c r="AC76" s="18">
        <f>V76 + Y76 + AA76</f>
        <v/>
      </c>
      <c r="AD76" s="18">
        <f>AC76 + AB76</f>
        <v/>
      </c>
      <c r="AE76" s="18" t="n">
        <v>9</v>
      </c>
      <c r="AF76" s="18">
        <f>IF(OR(B76&gt;=34, F76=1), 11700000, 9000000)</f>
        <v/>
      </c>
      <c r="AG76" s="18">
        <f>IF(OR(B76&gt;=34, F76=1), 4550000, 3500000)</f>
        <v/>
      </c>
      <c r="AH76" s="18" t="n">
        <v>0.02</v>
      </c>
      <c r="AI76" s="18">
        <f>AVERAGE(J73:J75)</f>
        <v/>
      </c>
      <c r="AJ76" s="18">
        <f>ABS(J76 - AI76)</f>
        <v/>
      </c>
      <c r="AK76" s="18">
        <f>IF(AI76="", 0, IF(AI76&gt;J76, (AI76-J76)*2700000, 0))</f>
        <v/>
      </c>
      <c r="AL76" s="18">
        <f>IF(AI76="", 0, IF(J76&gt;AI76, (J76-AI76)*6000000, 0))</f>
        <v/>
      </c>
      <c r="AM76" s="18">
        <f>AK76 + AL76</f>
        <v/>
      </c>
      <c r="AN76" s="18">
        <f>ABS(AC76 - J76)</f>
        <v/>
      </c>
      <c r="AO76" s="18">
        <f>IF(AC76&gt;J76, (AC76-J76)*2700000, 0)</f>
        <v/>
      </c>
      <c r="AP76" s="18">
        <f>IF(J76&gt;AC76, (J76-AC76)*6000000, 0)</f>
        <v/>
      </c>
      <c r="AQ76" s="18">
        <f>AO76 + AP76 + Z76</f>
        <v/>
      </c>
    </row>
    <row r="77">
      <c r="A77" s="17" t="inlineStr">
        <is>
          <t>Ngày 75 (14/07)</t>
        </is>
      </c>
      <c r="B77" s="18" t="n">
        <v>27.5</v>
      </c>
      <c r="C77" s="18" t="n">
        <v>60</v>
      </c>
      <c r="D77" s="18" t="n">
        <v>1</v>
      </c>
      <c r="E77" s="18" t="n">
        <v>202.3</v>
      </c>
      <c r="F77" s="18" t="n">
        <v>0</v>
      </c>
      <c r="G77" s="18" t="n">
        <v>86.90000000000001</v>
      </c>
      <c r="H77" s="18">
        <f>G77*IF(F77=1, 0.85, 0.8)</f>
        <v/>
      </c>
      <c r="I77" s="17" t="inlineStr">
        <is>
          <t>2-4</t>
        </is>
      </c>
      <c r="J77" s="18">
        <f>INT(H77/(18*0.95))</f>
        <v/>
      </c>
      <c r="K77" s="18">
        <f>ROUND(MOD(H77, (18*0.95)), 2)</f>
        <v/>
      </c>
      <c r="L77" s="18">
        <f>IF(K77&gt;0, ROUNDUP(K77/(5*0.95), 0), 0)</f>
        <v/>
      </c>
      <c r="M77" s="18">
        <f>J77+L77</f>
        <v/>
      </c>
      <c r="N77" s="18">
        <f>ROUND(TREND(G$3:G$94, E$3:E$94, E77), 1)</f>
        <v/>
      </c>
      <c r="O77" s="18">
        <f>ROUND(TREND(G$3:G$94, B$3:E$94, B77:E77), 1)</f>
        <v/>
      </c>
      <c r="P77" s="18">
        <f>ROUND(TREND(G$3:G$94, B$3:F$94, B77:F77), 1)</f>
        <v/>
      </c>
      <c r="Q77" s="18">
        <f>P77*IF(F77=1, 0.85, 0.8)</f>
        <v/>
      </c>
      <c r="R77" s="18">
        <f>INT(Q77/(18*0.95))</f>
        <v/>
      </c>
      <c r="S77" s="18">
        <f>ROUND(MOD(Q77, (18*0.95)), 2)</f>
        <v/>
      </c>
      <c r="T77" s="18">
        <f>IF(S77&gt;0, ROUNDUP(S77/(5*0.95), 0), 0)</f>
        <v/>
      </c>
      <c r="U77" s="18">
        <f>R77+T77</f>
        <v/>
      </c>
      <c r="V77" s="18">
        <f>ROUND(R77*70%, 0)</f>
        <v/>
      </c>
      <c r="W77" s="18">
        <f>MIN(ROUNDUP(R77*0.2, 0), MAX(0, R77 - V77))</f>
        <v/>
      </c>
      <c r="X77" s="17">
        <f>IF(C77&gt;20, "Hủy slot (Mưa &gt; 20mm)", "Kích hoạt")</f>
        <v/>
      </c>
      <c r="Y77" s="18">
        <f>IF(C77&gt;20, 0, W77)</f>
        <v/>
      </c>
      <c r="Z77" s="18">
        <f>IF(C77&gt;20, W77*0.2*AF77, 0)</f>
        <v/>
      </c>
      <c r="AA77" s="18">
        <f>MAX(0, J77 - V77 - Y77)</f>
        <v/>
      </c>
      <c r="AB77" s="18">
        <f>L77</f>
        <v/>
      </c>
      <c r="AC77" s="18">
        <f>V77 + Y77 + AA77</f>
        <v/>
      </c>
      <c r="AD77" s="18">
        <f>AC77 + AB77</f>
        <v/>
      </c>
      <c r="AE77" s="18" t="n">
        <v>9</v>
      </c>
      <c r="AF77" s="18">
        <f>IF(OR(B77&gt;=34, F77=1), 11700000, 9000000)</f>
        <v/>
      </c>
      <c r="AG77" s="18">
        <f>IF(OR(B77&gt;=34, F77=1), 4550000, 3500000)</f>
        <v/>
      </c>
      <c r="AH77" s="18" t="n">
        <v>0.02</v>
      </c>
      <c r="AI77" s="18">
        <f>AVERAGE(J74:J76)</f>
        <v/>
      </c>
      <c r="AJ77" s="18">
        <f>ABS(J77 - AI77)</f>
        <v/>
      </c>
      <c r="AK77" s="18">
        <f>IF(AI77="", 0, IF(AI77&gt;J77, (AI77-J77)*2700000, 0))</f>
        <v/>
      </c>
      <c r="AL77" s="18">
        <f>IF(AI77="", 0, IF(J77&gt;AI77, (J77-AI77)*6000000, 0))</f>
        <v/>
      </c>
      <c r="AM77" s="18">
        <f>AK77 + AL77</f>
        <v/>
      </c>
      <c r="AN77" s="18">
        <f>ABS(AC77 - J77)</f>
        <v/>
      </c>
      <c r="AO77" s="18">
        <f>IF(AC77&gt;J77, (AC77-J77)*2700000, 0)</f>
        <v/>
      </c>
      <c r="AP77" s="18">
        <f>IF(J77&gt;AC77, (J77-AC77)*6000000, 0)</f>
        <v/>
      </c>
      <c r="AQ77" s="18">
        <f>AO77 + AP77 + Z77</f>
        <v/>
      </c>
    </row>
    <row r="78">
      <c r="A78" s="17" t="inlineStr">
        <is>
          <t>Ngày 76 (15/07)</t>
        </is>
      </c>
      <c r="B78" s="18" t="n">
        <v>29.2</v>
      </c>
      <c r="C78" s="18" t="n">
        <v>0</v>
      </c>
      <c r="D78" s="18" t="n">
        <v>1</v>
      </c>
      <c r="E78" s="18" t="n">
        <v>179.2</v>
      </c>
      <c r="F78" s="18" t="n">
        <v>0</v>
      </c>
      <c r="G78" s="18" t="n">
        <v>180.8</v>
      </c>
      <c r="H78" s="18">
        <f>G78*IF(F78=1, 0.85, 0.8)</f>
        <v/>
      </c>
      <c r="I78" s="17" t="inlineStr">
        <is>
          <t>2-4</t>
        </is>
      </c>
      <c r="J78" s="18">
        <f>INT(H78/(18*0.95))</f>
        <v/>
      </c>
      <c r="K78" s="18">
        <f>ROUND(MOD(H78, (18*0.95)), 2)</f>
        <v/>
      </c>
      <c r="L78" s="18">
        <f>IF(K78&gt;0, ROUNDUP(K78/(5*0.95), 0), 0)</f>
        <v/>
      </c>
      <c r="M78" s="18">
        <f>J78+L78</f>
        <v/>
      </c>
      <c r="N78" s="18">
        <f>ROUND(TREND(G$3:G$94, E$3:E$94, E78), 1)</f>
        <v/>
      </c>
      <c r="O78" s="18">
        <f>ROUND(TREND(G$3:G$94, B$3:E$94, B78:E78), 1)</f>
        <v/>
      </c>
      <c r="P78" s="18">
        <f>ROUND(TREND(G$3:G$94, B$3:F$94, B78:F78), 1)</f>
        <v/>
      </c>
      <c r="Q78" s="18">
        <f>P78*IF(F78=1, 0.85, 0.8)</f>
        <v/>
      </c>
      <c r="R78" s="18">
        <f>INT(Q78/(18*0.95))</f>
        <v/>
      </c>
      <c r="S78" s="18">
        <f>ROUND(MOD(Q78, (18*0.95)), 2)</f>
        <v/>
      </c>
      <c r="T78" s="18">
        <f>IF(S78&gt;0, ROUNDUP(S78/(5*0.95), 0), 0)</f>
        <v/>
      </c>
      <c r="U78" s="18">
        <f>R78+T78</f>
        <v/>
      </c>
      <c r="V78" s="18">
        <f>ROUND(R78*70%, 0)</f>
        <v/>
      </c>
      <c r="W78" s="18">
        <f>MIN(ROUNDUP(R78*0.2, 0), MAX(0, R78 - V78))</f>
        <v/>
      </c>
      <c r="X78" s="17">
        <f>IF(C78&gt;20, "Hủy slot (Mưa &gt; 20mm)", "Kích hoạt")</f>
        <v/>
      </c>
      <c r="Y78" s="18">
        <f>IF(C78&gt;20, 0, W78)</f>
        <v/>
      </c>
      <c r="Z78" s="18">
        <f>IF(C78&gt;20, W78*0.2*AF78, 0)</f>
        <v/>
      </c>
      <c r="AA78" s="18">
        <f>MAX(0, J78 - V78 - Y78)</f>
        <v/>
      </c>
      <c r="AB78" s="18">
        <f>L78</f>
        <v/>
      </c>
      <c r="AC78" s="18">
        <f>V78 + Y78 + AA78</f>
        <v/>
      </c>
      <c r="AD78" s="18">
        <f>AC78 + AB78</f>
        <v/>
      </c>
      <c r="AE78" s="18" t="n">
        <v>9</v>
      </c>
      <c r="AF78" s="18">
        <f>IF(OR(B78&gt;=34, F78=1), 11700000, 9000000)</f>
        <v/>
      </c>
      <c r="AG78" s="18">
        <f>IF(OR(B78&gt;=34, F78=1), 4550000, 3500000)</f>
        <v/>
      </c>
      <c r="AH78" s="18" t="n">
        <v>0.02</v>
      </c>
      <c r="AI78" s="18">
        <f>AVERAGE(J75:J77)</f>
        <v/>
      </c>
      <c r="AJ78" s="18">
        <f>ABS(J78 - AI78)</f>
        <v/>
      </c>
      <c r="AK78" s="18">
        <f>IF(AI78="", 0, IF(AI78&gt;J78, (AI78-J78)*2700000, 0))</f>
        <v/>
      </c>
      <c r="AL78" s="18">
        <f>IF(AI78="", 0, IF(J78&gt;AI78, (J78-AI78)*6000000, 0))</f>
        <v/>
      </c>
      <c r="AM78" s="18">
        <f>AK78 + AL78</f>
        <v/>
      </c>
      <c r="AN78" s="18">
        <f>ABS(AC78 - J78)</f>
        <v/>
      </c>
      <c r="AO78" s="18">
        <f>IF(AC78&gt;J78, (AC78-J78)*2700000, 0)</f>
        <v/>
      </c>
      <c r="AP78" s="18">
        <f>IF(J78&gt;AC78, (J78-AC78)*6000000, 0)</f>
        <v/>
      </c>
      <c r="AQ78" s="18">
        <f>AO78 + AP78 + Z78</f>
        <v/>
      </c>
    </row>
    <row r="79">
      <c r="A79" s="17" t="inlineStr">
        <is>
          <t>Ngày 77 (16/07)</t>
        </is>
      </c>
      <c r="B79" s="18" t="n">
        <v>29.9</v>
      </c>
      <c r="C79" s="18" t="n">
        <v>0</v>
      </c>
      <c r="D79" s="18" t="n">
        <v>1</v>
      </c>
      <c r="E79" s="18" t="n">
        <v>194.9</v>
      </c>
      <c r="F79" s="18" t="n">
        <v>1</v>
      </c>
      <c r="G79" s="18" t="n">
        <v>198.5</v>
      </c>
      <c r="H79" s="18">
        <f>G79*IF(F79=1, 0.85, 0.8)</f>
        <v/>
      </c>
      <c r="I79" s="17" t="inlineStr">
        <is>
          <t>2-4</t>
        </is>
      </c>
      <c r="J79" s="18">
        <f>INT(H79/(18*0.95))</f>
        <v/>
      </c>
      <c r="K79" s="18">
        <f>ROUND(MOD(H79, (18*0.95)), 2)</f>
        <v/>
      </c>
      <c r="L79" s="18">
        <f>IF(K79&gt;0, ROUNDUP(K79/(5*0.95), 0), 0)</f>
        <v/>
      </c>
      <c r="M79" s="18">
        <f>J79+L79</f>
        <v/>
      </c>
      <c r="N79" s="18">
        <f>ROUND(TREND(G$3:G$94, E$3:E$94, E79), 1)</f>
        <v/>
      </c>
      <c r="O79" s="18">
        <f>ROUND(TREND(G$3:G$94, B$3:E$94, B79:E79), 1)</f>
        <v/>
      </c>
      <c r="P79" s="18">
        <f>ROUND(TREND(G$3:G$94, B$3:F$94, B79:F79), 1)</f>
        <v/>
      </c>
      <c r="Q79" s="18">
        <f>P79*IF(F79=1, 0.85, 0.8)</f>
        <v/>
      </c>
      <c r="R79" s="18">
        <f>INT(Q79/(18*0.95))</f>
        <v/>
      </c>
      <c r="S79" s="18">
        <f>ROUND(MOD(Q79, (18*0.95)), 2)</f>
        <v/>
      </c>
      <c r="T79" s="18">
        <f>IF(S79&gt;0, ROUNDUP(S79/(5*0.95), 0), 0)</f>
        <v/>
      </c>
      <c r="U79" s="18">
        <f>R79+T79</f>
        <v/>
      </c>
      <c r="V79" s="18">
        <f>ROUND(R79*70%, 0)</f>
        <v/>
      </c>
      <c r="W79" s="18">
        <f>MIN(ROUNDUP(R79*0.2, 0), MAX(0, R79 - V79))</f>
        <v/>
      </c>
      <c r="X79" s="17">
        <f>IF(C79&gt;20, "Hủy slot (Mưa &gt; 20mm)", "Kích hoạt")</f>
        <v/>
      </c>
      <c r="Y79" s="18">
        <f>IF(C79&gt;20, 0, W79)</f>
        <v/>
      </c>
      <c r="Z79" s="18">
        <f>IF(C79&gt;20, W79*0.2*AF79, 0)</f>
        <v/>
      </c>
      <c r="AA79" s="18">
        <f>MAX(0, J79 - V79 - Y79)</f>
        <v/>
      </c>
      <c r="AB79" s="18">
        <f>L79</f>
        <v/>
      </c>
      <c r="AC79" s="18">
        <f>V79 + Y79 + AA79</f>
        <v/>
      </c>
      <c r="AD79" s="18">
        <f>AC79 + AB79</f>
        <v/>
      </c>
      <c r="AE79" s="18" t="n">
        <v>9</v>
      </c>
      <c r="AF79" s="18">
        <f>IF(OR(B79&gt;=34, F79=1), 11700000, 9000000)</f>
        <v/>
      </c>
      <c r="AG79" s="18">
        <f>IF(OR(B79&gt;=34, F79=1), 4550000, 3500000)</f>
        <v/>
      </c>
      <c r="AH79" s="18" t="n">
        <v>0.02</v>
      </c>
      <c r="AI79" s="18">
        <f>AVERAGE(J76:J78)</f>
        <v/>
      </c>
      <c r="AJ79" s="18">
        <f>ABS(J79 - AI79)</f>
        <v/>
      </c>
      <c r="AK79" s="18">
        <f>IF(AI79="", 0, IF(AI79&gt;J79, (AI79-J79)*2700000, 0))</f>
        <v/>
      </c>
      <c r="AL79" s="18">
        <f>IF(AI79="", 0, IF(J79&gt;AI79, (J79-AI79)*6000000, 0))</f>
        <v/>
      </c>
      <c r="AM79" s="18">
        <f>AK79 + AL79</f>
        <v/>
      </c>
      <c r="AN79" s="18">
        <f>ABS(AC79 - J79)</f>
        <v/>
      </c>
      <c r="AO79" s="18">
        <f>IF(AC79&gt;J79, (AC79-J79)*2700000, 0)</f>
        <v/>
      </c>
      <c r="AP79" s="18">
        <f>IF(J79&gt;AC79, (J79-AC79)*6000000, 0)</f>
        <v/>
      </c>
      <c r="AQ79" s="18">
        <f>AO79 + AP79 + Z79</f>
        <v/>
      </c>
    </row>
    <row r="80">
      <c r="A80" s="17" t="inlineStr">
        <is>
          <t>Ngày 78 (17/07)</t>
        </is>
      </c>
      <c r="B80" s="18" t="n">
        <v>28.7</v>
      </c>
      <c r="C80" s="18" t="n">
        <v>15</v>
      </c>
      <c r="D80" s="18" t="n">
        <v>1</v>
      </c>
      <c r="E80" s="18" t="n">
        <v>161.9</v>
      </c>
      <c r="F80" s="18" t="n">
        <v>1</v>
      </c>
      <c r="G80" s="18" t="n">
        <v>187</v>
      </c>
      <c r="H80" s="18">
        <f>G80*IF(F80=1, 0.85, 0.8)</f>
        <v/>
      </c>
      <c r="I80" s="17" t="inlineStr">
        <is>
          <t>2-4</t>
        </is>
      </c>
      <c r="J80" s="18">
        <f>INT(H80/(18*0.95))</f>
        <v/>
      </c>
      <c r="K80" s="18">
        <f>ROUND(MOD(H80, (18*0.95)), 2)</f>
        <v/>
      </c>
      <c r="L80" s="18">
        <f>IF(K80&gt;0, ROUNDUP(K80/(5*0.95), 0), 0)</f>
        <v/>
      </c>
      <c r="M80" s="18">
        <f>J80+L80</f>
        <v/>
      </c>
      <c r="N80" s="18">
        <f>ROUND(TREND(G$3:G$94, E$3:E$94, E80), 1)</f>
        <v/>
      </c>
      <c r="O80" s="18">
        <f>ROUND(TREND(G$3:G$94, B$3:E$94, B80:E80), 1)</f>
        <v/>
      </c>
      <c r="P80" s="18">
        <f>ROUND(TREND(G$3:G$94, B$3:F$94, B80:F80), 1)</f>
        <v/>
      </c>
      <c r="Q80" s="18">
        <f>P80*IF(F80=1, 0.85, 0.8)</f>
        <v/>
      </c>
      <c r="R80" s="18">
        <f>INT(Q80/(18*0.95))</f>
        <v/>
      </c>
      <c r="S80" s="18">
        <f>ROUND(MOD(Q80, (18*0.95)), 2)</f>
        <v/>
      </c>
      <c r="T80" s="18">
        <f>IF(S80&gt;0, ROUNDUP(S80/(5*0.95), 0), 0)</f>
        <v/>
      </c>
      <c r="U80" s="18">
        <f>R80+T80</f>
        <v/>
      </c>
      <c r="V80" s="18">
        <f>ROUND(R80*70%, 0)</f>
        <v/>
      </c>
      <c r="W80" s="18">
        <f>MIN(ROUNDUP(R80*0.2, 0), MAX(0, R80 - V80))</f>
        <v/>
      </c>
      <c r="X80" s="17">
        <f>IF(C80&gt;20, "Hủy slot (Mưa &gt; 20mm)", "Kích hoạt")</f>
        <v/>
      </c>
      <c r="Y80" s="18">
        <f>IF(C80&gt;20, 0, W80)</f>
        <v/>
      </c>
      <c r="Z80" s="18">
        <f>IF(C80&gt;20, W80*0.2*AF80, 0)</f>
        <v/>
      </c>
      <c r="AA80" s="18">
        <f>MAX(0, J80 - V80 - Y80)</f>
        <v/>
      </c>
      <c r="AB80" s="18">
        <f>L80</f>
        <v/>
      </c>
      <c r="AC80" s="18">
        <f>V80 + Y80 + AA80</f>
        <v/>
      </c>
      <c r="AD80" s="18">
        <f>AC80 + AB80</f>
        <v/>
      </c>
      <c r="AE80" s="18" t="n">
        <v>9</v>
      </c>
      <c r="AF80" s="18">
        <f>IF(OR(B80&gt;=34, F80=1), 11700000, 9000000)</f>
        <v/>
      </c>
      <c r="AG80" s="18">
        <f>IF(OR(B80&gt;=34, F80=1), 4550000, 3500000)</f>
        <v/>
      </c>
      <c r="AH80" s="18" t="n">
        <v>0.02</v>
      </c>
      <c r="AI80" s="18">
        <f>AVERAGE(J77:J79)</f>
        <v/>
      </c>
      <c r="AJ80" s="18">
        <f>ABS(J80 - AI80)</f>
        <v/>
      </c>
      <c r="AK80" s="18">
        <f>IF(AI80="", 0, IF(AI80&gt;J80, (AI80-J80)*2700000, 0))</f>
        <v/>
      </c>
      <c r="AL80" s="18">
        <f>IF(AI80="", 0, IF(J80&gt;AI80, (J80-AI80)*6000000, 0))</f>
        <v/>
      </c>
      <c r="AM80" s="18">
        <f>AK80 + AL80</f>
        <v/>
      </c>
      <c r="AN80" s="18">
        <f>ABS(AC80 - J80)</f>
        <v/>
      </c>
      <c r="AO80" s="18">
        <f>IF(AC80&gt;J80, (AC80-J80)*2700000, 0)</f>
        <v/>
      </c>
      <c r="AP80" s="18">
        <f>IF(J80&gt;AC80, (J80-AC80)*6000000, 0)</f>
        <v/>
      </c>
      <c r="AQ80" s="18">
        <f>AO80 + AP80 + Z80</f>
        <v/>
      </c>
    </row>
    <row r="81">
      <c r="A81" s="17" t="inlineStr">
        <is>
          <t>Ngày 79 (18/07)</t>
        </is>
      </c>
      <c r="B81" s="18" t="n">
        <v>32.7</v>
      </c>
      <c r="C81" s="18" t="n">
        <v>0</v>
      </c>
      <c r="D81" s="18" t="n">
        <v>1</v>
      </c>
      <c r="E81" s="18" t="n">
        <v>129.6</v>
      </c>
      <c r="F81" s="18" t="n">
        <v>0</v>
      </c>
      <c r="G81" s="18" t="n">
        <v>156.3</v>
      </c>
      <c r="H81" s="18">
        <f>G81*IF(F81=1, 0.85, 0.8)</f>
        <v/>
      </c>
      <c r="I81" s="17" t="inlineStr">
        <is>
          <t>2-4</t>
        </is>
      </c>
      <c r="J81" s="18">
        <f>INT(H81/(18*0.95))</f>
        <v/>
      </c>
      <c r="K81" s="18">
        <f>ROUND(MOD(H81, (18*0.95)), 2)</f>
        <v/>
      </c>
      <c r="L81" s="18">
        <f>IF(K81&gt;0, ROUNDUP(K81/(5*0.95), 0), 0)</f>
        <v/>
      </c>
      <c r="M81" s="18">
        <f>J81+L81</f>
        <v/>
      </c>
      <c r="N81" s="18">
        <f>ROUND(TREND(G$3:G$94, E$3:E$94, E81), 1)</f>
        <v/>
      </c>
      <c r="O81" s="18">
        <f>ROUND(TREND(G$3:G$94, B$3:E$94, B81:E81), 1)</f>
        <v/>
      </c>
      <c r="P81" s="18">
        <f>ROUND(TREND(G$3:G$94, B$3:F$94, B81:F81), 1)</f>
        <v/>
      </c>
      <c r="Q81" s="18">
        <f>P81*IF(F81=1, 0.85, 0.8)</f>
        <v/>
      </c>
      <c r="R81" s="18">
        <f>INT(Q81/(18*0.95))</f>
        <v/>
      </c>
      <c r="S81" s="18">
        <f>ROUND(MOD(Q81, (18*0.95)), 2)</f>
        <v/>
      </c>
      <c r="T81" s="18">
        <f>IF(S81&gt;0, ROUNDUP(S81/(5*0.95), 0), 0)</f>
        <v/>
      </c>
      <c r="U81" s="18">
        <f>R81+T81</f>
        <v/>
      </c>
      <c r="V81" s="18">
        <f>ROUND(R81*70%, 0)</f>
        <v/>
      </c>
      <c r="W81" s="18">
        <f>MIN(ROUNDUP(R81*0.2, 0), MAX(0, R81 - V81))</f>
        <v/>
      </c>
      <c r="X81" s="17">
        <f>IF(C81&gt;20, "Hủy slot (Mưa &gt; 20mm)", "Kích hoạt")</f>
        <v/>
      </c>
      <c r="Y81" s="18">
        <f>IF(C81&gt;20, 0, W81)</f>
        <v/>
      </c>
      <c r="Z81" s="18">
        <f>IF(C81&gt;20, W81*0.2*AF81, 0)</f>
        <v/>
      </c>
      <c r="AA81" s="18">
        <f>MAX(0, J81 - V81 - Y81)</f>
        <v/>
      </c>
      <c r="AB81" s="18">
        <f>L81</f>
        <v/>
      </c>
      <c r="AC81" s="18">
        <f>V81 + Y81 + AA81</f>
        <v/>
      </c>
      <c r="AD81" s="18">
        <f>AC81 + AB81</f>
        <v/>
      </c>
      <c r="AE81" s="18" t="n">
        <v>9</v>
      </c>
      <c r="AF81" s="18">
        <f>IF(OR(B81&gt;=34, F81=1), 11700000, 9000000)</f>
        <v/>
      </c>
      <c r="AG81" s="18">
        <f>IF(OR(B81&gt;=34, F81=1), 4550000, 3500000)</f>
        <v/>
      </c>
      <c r="AH81" s="18" t="n">
        <v>0.02</v>
      </c>
      <c r="AI81" s="18">
        <f>AVERAGE(J78:J80)</f>
        <v/>
      </c>
      <c r="AJ81" s="18">
        <f>ABS(J81 - AI81)</f>
        <v/>
      </c>
      <c r="AK81" s="18">
        <f>IF(AI81="", 0, IF(AI81&gt;J81, (AI81-J81)*2700000, 0))</f>
        <v/>
      </c>
      <c r="AL81" s="18">
        <f>IF(AI81="", 0, IF(J81&gt;AI81, (J81-AI81)*6000000, 0))</f>
        <v/>
      </c>
      <c r="AM81" s="18">
        <f>AK81 + AL81</f>
        <v/>
      </c>
      <c r="AN81" s="18">
        <f>ABS(AC81 - J81)</f>
        <v/>
      </c>
      <c r="AO81" s="18">
        <f>IF(AC81&gt;J81, (AC81-J81)*2700000, 0)</f>
        <v/>
      </c>
      <c r="AP81" s="18">
        <f>IF(J81&gt;AC81, (J81-AC81)*6000000, 0)</f>
        <v/>
      </c>
      <c r="AQ81" s="18">
        <f>AO81 + AP81 + Z81</f>
        <v/>
      </c>
    </row>
    <row r="82">
      <c r="A82" s="17" t="inlineStr">
        <is>
          <t>Ngày 80 (19/07)</t>
        </is>
      </c>
      <c r="B82" s="18" t="n">
        <v>33</v>
      </c>
      <c r="C82" s="18" t="n">
        <v>0</v>
      </c>
      <c r="D82" s="18" t="n">
        <v>1</v>
      </c>
      <c r="E82" s="18" t="n">
        <v>115.8</v>
      </c>
      <c r="F82" s="18" t="n">
        <v>0</v>
      </c>
      <c r="G82" s="18" t="n">
        <v>133.5</v>
      </c>
      <c r="H82" s="18">
        <f>G82*IF(F82=1, 0.85, 0.8)</f>
        <v/>
      </c>
      <c r="I82" s="17" t="inlineStr">
        <is>
          <t>2-4</t>
        </is>
      </c>
      <c r="J82" s="18">
        <f>INT(H82/(18*0.95))</f>
        <v/>
      </c>
      <c r="K82" s="18">
        <f>ROUND(MOD(H82, (18*0.95)), 2)</f>
        <v/>
      </c>
      <c r="L82" s="18">
        <f>IF(K82&gt;0, ROUNDUP(K82/(5*0.95), 0), 0)</f>
        <v/>
      </c>
      <c r="M82" s="18">
        <f>J82+L82</f>
        <v/>
      </c>
      <c r="N82" s="18">
        <f>ROUND(TREND(G$3:G$94, E$3:E$94, E82), 1)</f>
        <v/>
      </c>
      <c r="O82" s="18">
        <f>ROUND(TREND(G$3:G$94, B$3:E$94, B82:E82), 1)</f>
        <v/>
      </c>
      <c r="P82" s="18">
        <f>ROUND(TREND(G$3:G$94, B$3:F$94, B82:F82), 1)</f>
        <v/>
      </c>
      <c r="Q82" s="18">
        <f>P82*IF(F82=1, 0.85, 0.8)</f>
        <v/>
      </c>
      <c r="R82" s="18">
        <f>INT(Q82/(18*0.95))</f>
        <v/>
      </c>
      <c r="S82" s="18">
        <f>ROUND(MOD(Q82, (18*0.95)), 2)</f>
        <v/>
      </c>
      <c r="T82" s="18">
        <f>IF(S82&gt;0, ROUNDUP(S82/(5*0.95), 0), 0)</f>
        <v/>
      </c>
      <c r="U82" s="18">
        <f>R82+T82</f>
        <v/>
      </c>
      <c r="V82" s="18">
        <f>ROUND(R82*70%, 0)</f>
        <v/>
      </c>
      <c r="W82" s="18">
        <f>MIN(ROUNDUP(R82*0.2, 0), MAX(0, R82 - V82))</f>
        <v/>
      </c>
      <c r="X82" s="17">
        <f>IF(C82&gt;20, "Hủy slot (Mưa &gt; 20mm)", "Kích hoạt")</f>
        <v/>
      </c>
      <c r="Y82" s="18">
        <f>IF(C82&gt;20, 0, W82)</f>
        <v/>
      </c>
      <c r="Z82" s="18">
        <f>IF(C82&gt;20, W82*0.2*AF82, 0)</f>
        <v/>
      </c>
      <c r="AA82" s="18">
        <f>MAX(0, J82 - V82 - Y82)</f>
        <v/>
      </c>
      <c r="AB82" s="18">
        <f>L82</f>
        <v/>
      </c>
      <c r="AC82" s="18">
        <f>V82 + Y82 + AA82</f>
        <v/>
      </c>
      <c r="AD82" s="18">
        <f>AC82 + AB82</f>
        <v/>
      </c>
      <c r="AE82" s="18" t="n">
        <v>9</v>
      </c>
      <c r="AF82" s="18">
        <f>IF(OR(B82&gt;=34, F82=1), 11700000, 9000000)</f>
        <v/>
      </c>
      <c r="AG82" s="18">
        <f>IF(OR(B82&gt;=34, F82=1), 4550000, 3500000)</f>
        <v/>
      </c>
      <c r="AH82" s="18" t="n">
        <v>0.02</v>
      </c>
      <c r="AI82" s="18">
        <f>AVERAGE(J79:J81)</f>
        <v/>
      </c>
      <c r="AJ82" s="18">
        <f>ABS(J82 - AI82)</f>
        <v/>
      </c>
      <c r="AK82" s="18">
        <f>IF(AI82="", 0, IF(AI82&gt;J82, (AI82-J82)*2700000, 0))</f>
        <v/>
      </c>
      <c r="AL82" s="18">
        <f>IF(AI82="", 0, IF(J82&gt;AI82, (J82-AI82)*6000000, 0))</f>
        <v/>
      </c>
      <c r="AM82" s="18">
        <f>AK82 + AL82</f>
        <v/>
      </c>
      <c r="AN82" s="18">
        <f>ABS(AC82 - J82)</f>
        <v/>
      </c>
      <c r="AO82" s="18">
        <f>IF(AC82&gt;J82, (AC82-J82)*2700000, 0)</f>
        <v/>
      </c>
      <c r="AP82" s="18">
        <f>IF(J82&gt;AC82, (J82-AC82)*6000000, 0)</f>
        <v/>
      </c>
      <c r="AQ82" s="18">
        <f>AO82 + AP82 + Z82</f>
        <v/>
      </c>
    </row>
    <row r="83">
      <c r="A83" s="17" t="inlineStr">
        <is>
          <t>Ngày 81 (20/07)</t>
        </is>
      </c>
      <c r="B83" s="18" t="n">
        <v>31.9</v>
      </c>
      <c r="C83" s="18" t="n">
        <v>0</v>
      </c>
      <c r="D83" s="18" t="n">
        <v>1</v>
      </c>
      <c r="E83" s="18" t="n">
        <v>132</v>
      </c>
      <c r="F83" s="18" t="n">
        <v>0</v>
      </c>
      <c r="G83" s="18" t="n">
        <v>129.1</v>
      </c>
      <c r="H83" s="18">
        <f>G83*IF(F83=1, 0.85, 0.8)</f>
        <v/>
      </c>
      <c r="I83" s="17" t="inlineStr">
        <is>
          <t>2-4</t>
        </is>
      </c>
      <c r="J83" s="18">
        <f>INT(H83/(18*0.95))</f>
        <v/>
      </c>
      <c r="K83" s="18">
        <f>ROUND(MOD(H83, (18*0.95)), 2)</f>
        <v/>
      </c>
      <c r="L83" s="18">
        <f>IF(K83&gt;0, ROUNDUP(K83/(5*0.95), 0), 0)</f>
        <v/>
      </c>
      <c r="M83" s="18">
        <f>J83+L83</f>
        <v/>
      </c>
      <c r="N83" s="18">
        <f>ROUND(TREND(G$3:G$94, E$3:E$94, E83), 1)</f>
        <v/>
      </c>
      <c r="O83" s="18">
        <f>ROUND(TREND(G$3:G$94, B$3:E$94, B83:E83), 1)</f>
        <v/>
      </c>
      <c r="P83" s="18">
        <f>ROUND(TREND(G$3:G$94, B$3:F$94, B83:F83), 1)</f>
        <v/>
      </c>
      <c r="Q83" s="18">
        <f>P83*IF(F83=1, 0.85, 0.8)</f>
        <v/>
      </c>
      <c r="R83" s="18">
        <f>INT(Q83/(18*0.95))</f>
        <v/>
      </c>
      <c r="S83" s="18">
        <f>ROUND(MOD(Q83, (18*0.95)), 2)</f>
        <v/>
      </c>
      <c r="T83" s="18">
        <f>IF(S83&gt;0, ROUNDUP(S83/(5*0.95), 0), 0)</f>
        <v/>
      </c>
      <c r="U83" s="18">
        <f>R83+T83</f>
        <v/>
      </c>
      <c r="V83" s="18">
        <f>ROUND(R83*70%, 0)</f>
        <v/>
      </c>
      <c r="W83" s="18">
        <f>MIN(ROUNDUP(R83*0.2, 0), MAX(0, R83 - V83))</f>
        <v/>
      </c>
      <c r="X83" s="17">
        <f>IF(C83&gt;20, "Hủy slot (Mưa &gt; 20mm)", "Kích hoạt")</f>
        <v/>
      </c>
      <c r="Y83" s="18">
        <f>IF(C83&gt;20, 0, W83)</f>
        <v/>
      </c>
      <c r="Z83" s="18">
        <f>IF(C83&gt;20, W83*0.2*AF83, 0)</f>
        <v/>
      </c>
      <c r="AA83" s="18">
        <f>MAX(0, J83 - V83 - Y83)</f>
        <v/>
      </c>
      <c r="AB83" s="18">
        <f>L83</f>
        <v/>
      </c>
      <c r="AC83" s="18">
        <f>V83 + Y83 + AA83</f>
        <v/>
      </c>
      <c r="AD83" s="18">
        <f>AC83 + AB83</f>
        <v/>
      </c>
      <c r="AE83" s="18" t="n">
        <v>9</v>
      </c>
      <c r="AF83" s="18">
        <f>IF(OR(B83&gt;=34, F83=1), 11700000, 9000000)</f>
        <v/>
      </c>
      <c r="AG83" s="18">
        <f>IF(OR(B83&gt;=34, F83=1), 4550000, 3500000)</f>
        <v/>
      </c>
      <c r="AH83" s="18" t="n">
        <v>0.02</v>
      </c>
      <c r="AI83" s="18">
        <f>AVERAGE(J80:J82)</f>
        <v/>
      </c>
      <c r="AJ83" s="18">
        <f>ABS(J83 - AI83)</f>
        <v/>
      </c>
      <c r="AK83" s="18">
        <f>IF(AI83="", 0, IF(AI83&gt;J83, (AI83-J83)*2700000, 0))</f>
        <v/>
      </c>
      <c r="AL83" s="18">
        <f>IF(AI83="", 0, IF(J83&gt;AI83, (J83-AI83)*6000000, 0))</f>
        <v/>
      </c>
      <c r="AM83" s="18">
        <f>AK83 + AL83</f>
        <v/>
      </c>
      <c r="AN83" s="18">
        <f>ABS(AC83 - J83)</f>
        <v/>
      </c>
      <c r="AO83" s="18">
        <f>IF(AC83&gt;J83, (AC83-J83)*2700000, 0)</f>
        <v/>
      </c>
      <c r="AP83" s="18">
        <f>IF(J83&gt;AC83, (J83-AC83)*6000000, 0)</f>
        <v/>
      </c>
      <c r="AQ83" s="18">
        <f>AO83 + AP83 + Z83</f>
        <v/>
      </c>
    </row>
    <row r="84">
      <c r="A84" s="17" t="inlineStr">
        <is>
          <t>Ngày 82 (21/07)</t>
        </is>
      </c>
      <c r="B84" s="18" t="n">
        <v>27.5</v>
      </c>
      <c r="C84" s="18" t="n">
        <v>40</v>
      </c>
      <c r="D84" s="18" t="n">
        <v>1</v>
      </c>
      <c r="E84" s="18" t="n">
        <v>116.6</v>
      </c>
      <c r="F84" s="18" t="n">
        <v>0</v>
      </c>
      <c r="G84" s="18" t="n">
        <v>59.4</v>
      </c>
      <c r="H84" s="18">
        <f>G84*IF(F84=1, 0.85, 0.8)</f>
        <v/>
      </c>
      <c r="I84" s="17" t="inlineStr">
        <is>
          <t>2-4</t>
        </is>
      </c>
      <c r="J84" s="18">
        <f>INT(H84/(18*0.95))</f>
        <v/>
      </c>
      <c r="K84" s="18">
        <f>ROUND(MOD(H84, (18*0.95)), 2)</f>
        <v/>
      </c>
      <c r="L84" s="18">
        <f>IF(K84&gt;0, ROUNDUP(K84/(5*0.95), 0), 0)</f>
        <v/>
      </c>
      <c r="M84" s="18">
        <f>J84+L84</f>
        <v/>
      </c>
      <c r="N84" s="18">
        <f>ROUND(TREND(G$3:G$94, E$3:E$94, E84), 1)</f>
        <v/>
      </c>
      <c r="O84" s="18">
        <f>ROUND(TREND(G$3:G$94, B$3:E$94, B84:E84), 1)</f>
        <v/>
      </c>
      <c r="P84" s="18">
        <f>ROUND(TREND(G$3:G$94, B$3:F$94, B84:F84), 1)</f>
        <v/>
      </c>
      <c r="Q84" s="18">
        <f>P84*IF(F84=1, 0.85, 0.8)</f>
        <v/>
      </c>
      <c r="R84" s="18">
        <f>INT(Q84/(18*0.95))</f>
        <v/>
      </c>
      <c r="S84" s="18">
        <f>ROUND(MOD(Q84, (18*0.95)), 2)</f>
        <v/>
      </c>
      <c r="T84" s="18">
        <f>IF(S84&gt;0, ROUNDUP(S84/(5*0.95), 0), 0)</f>
        <v/>
      </c>
      <c r="U84" s="18">
        <f>R84+T84</f>
        <v/>
      </c>
      <c r="V84" s="18">
        <f>ROUND(R84*70%, 0)</f>
        <v/>
      </c>
      <c r="W84" s="18">
        <f>MIN(ROUNDUP(R84*0.2, 0), MAX(0, R84 - V84))</f>
        <v/>
      </c>
      <c r="X84" s="17">
        <f>IF(C84&gt;20, "Hủy slot (Mưa &gt; 20mm)", "Kích hoạt")</f>
        <v/>
      </c>
      <c r="Y84" s="18">
        <f>IF(C84&gt;20, 0, W84)</f>
        <v/>
      </c>
      <c r="Z84" s="18">
        <f>IF(C84&gt;20, W84*0.2*AF84, 0)</f>
        <v/>
      </c>
      <c r="AA84" s="18">
        <f>MAX(0, J84 - V84 - Y84)</f>
        <v/>
      </c>
      <c r="AB84" s="18">
        <f>L84</f>
        <v/>
      </c>
      <c r="AC84" s="18">
        <f>V84 + Y84 + AA84</f>
        <v/>
      </c>
      <c r="AD84" s="18">
        <f>AC84 + AB84</f>
        <v/>
      </c>
      <c r="AE84" s="18" t="n">
        <v>9</v>
      </c>
      <c r="AF84" s="18">
        <f>IF(OR(B84&gt;=34, F84=1), 11700000, 9000000)</f>
        <v/>
      </c>
      <c r="AG84" s="18">
        <f>IF(OR(B84&gt;=34, F84=1), 4550000, 3500000)</f>
        <v/>
      </c>
      <c r="AH84" s="18" t="n">
        <v>0.02</v>
      </c>
      <c r="AI84" s="18">
        <f>AVERAGE(J81:J83)</f>
        <v/>
      </c>
      <c r="AJ84" s="18">
        <f>ABS(J84 - AI84)</f>
        <v/>
      </c>
      <c r="AK84" s="18">
        <f>IF(AI84="", 0, IF(AI84&gt;J84, (AI84-J84)*2700000, 0))</f>
        <v/>
      </c>
      <c r="AL84" s="18">
        <f>IF(AI84="", 0, IF(J84&gt;AI84, (J84-AI84)*6000000, 0))</f>
        <v/>
      </c>
      <c r="AM84" s="18">
        <f>AK84 + AL84</f>
        <v/>
      </c>
      <c r="AN84" s="18">
        <f>ABS(AC84 - J84)</f>
        <v/>
      </c>
      <c r="AO84" s="18">
        <f>IF(AC84&gt;J84, (AC84-J84)*2700000, 0)</f>
        <v/>
      </c>
      <c r="AP84" s="18">
        <f>IF(J84&gt;AC84, (J84-AC84)*6000000, 0)</f>
        <v/>
      </c>
      <c r="AQ84" s="18">
        <f>AO84 + AP84 + Z84</f>
        <v/>
      </c>
    </row>
    <row r="85">
      <c r="A85" s="17" t="inlineStr">
        <is>
          <t>Ngày 83 (22/07)</t>
        </is>
      </c>
      <c r="B85" s="18" t="n">
        <v>30.9</v>
      </c>
      <c r="C85" s="18" t="n">
        <v>0</v>
      </c>
      <c r="D85" s="18" t="n">
        <v>1</v>
      </c>
      <c r="E85" s="18" t="n">
        <v>83.09999999999999</v>
      </c>
      <c r="F85" s="18" t="n">
        <v>0</v>
      </c>
      <c r="G85" s="18" t="n">
        <v>102.4</v>
      </c>
      <c r="H85" s="18">
        <f>G85*IF(F85=1, 0.85, 0.8)</f>
        <v/>
      </c>
      <c r="I85" s="17" t="inlineStr">
        <is>
          <t>2-4</t>
        </is>
      </c>
      <c r="J85" s="18">
        <f>INT(H85/(18*0.95))</f>
        <v/>
      </c>
      <c r="K85" s="18">
        <f>ROUND(MOD(H85, (18*0.95)), 2)</f>
        <v/>
      </c>
      <c r="L85" s="18">
        <f>IF(K85&gt;0, ROUNDUP(K85/(5*0.95), 0), 0)</f>
        <v/>
      </c>
      <c r="M85" s="18">
        <f>J85+L85</f>
        <v/>
      </c>
      <c r="N85" s="18">
        <f>ROUND(TREND(G$3:G$94, E$3:E$94, E85), 1)</f>
        <v/>
      </c>
      <c r="O85" s="18">
        <f>ROUND(TREND(G$3:G$94, B$3:E$94, B85:E85), 1)</f>
        <v/>
      </c>
      <c r="P85" s="18">
        <f>ROUND(TREND(G$3:G$94, B$3:F$94, B85:F85), 1)</f>
        <v/>
      </c>
      <c r="Q85" s="18">
        <f>P85*IF(F85=1, 0.85, 0.8)</f>
        <v/>
      </c>
      <c r="R85" s="18">
        <f>INT(Q85/(18*0.95))</f>
        <v/>
      </c>
      <c r="S85" s="18">
        <f>ROUND(MOD(Q85, (18*0.95)), 2)</f>
        <v/>
      </c>
      <c r="T85" s="18">
        <f>IF(S85&gt;0, ROUNDUP(S85/(5*0.95), 0), 0)</f>
        <v/>
      </c>
      <c r="U85" s="18">
        <f>R85+T85</f>
        <v/>
      </c>
      <c r="V85" s="18">
        <f>ROUND(R85*70%, 0)</f>
        <v/>
      </c>
      <c r="W85" s="18">
        <f>MIN(ROUNDUP(R85*0.2, 0), MAX(0, R85 - V85))</f>
        <v/>
      </c>
      <c r="X85" s="17">
        <f>IF(C85&gt;20, "Hủy slot (Mưa &gt; 20mm)", "Kích hoạt")</f>
        <v/>
      </c>
      <c r="Y85" s="18">
        <f>IF(C85&gt;20, 0, W85)</f>
        <v/>
      </c>
      <c r="Z85" s="18">
        <f>IF(C85&gt;20, W85*0.2*AF85, 0)</f>
        <v/>
      </c>
      <c r="AA85" s="18">
        <f>MAX(0, J85 - V85 - Y85)</f>
        <v/>
      </c>
      <c r="AB85" s="18">
        <f>L85</f>
        <v/>
      </c>
      <c r="AC85" s="18">
        <f>V85 + Y85 + AA85</f>
        <v/>
      </c>
      <c r="AD85" s="18">
        <f>AC85 + AB85</f>
        <v/>
      </c>
      <c r="AE85" s="18" t="n">
        <v>9</v>
      </c>
      <c r="AF85" s="18">
        <f>IF(OR(B85&gt;=34, F85=1), 11700000, 9000000)</f>
        <v/>
      </c>
      <c r="AG85" s="18">
        <f>IF(OR(B85&gt;=34, F85=1), 4550000, 3500000)</f>
        <v/>
      </c>
      <c r="AH85" s="18" t="n">
        <v>0.02</v>
      </c>
      <c r="AI85" s="18">
        <f>AVERAGE(J82:J84)</f>
        <v/>
      </c>
      <c r="AJ85" s="18">
        <f>ABS(J85 - AI85)</f>
        <v/>
      </c>
      <c r="AK85" s="18">
        <f>IF(AI85="", 0, IF(AI85&gt;J85, (AI85-J85)*2700000, 0))</f>
        <v/>
      </c>
      <c r="AL85" s="18">
        <f>IF(AI85="", 0, IF(J85&gt;AI85, (J85-AI85)*6000000, 0))</f>
        <v/>
      </c>
      <c r="AM85" s="18">
        <f>AK85 + AL85</f>
        <v/>
      </c>
      <c r="AN85" s="18">
        <f>ABS(AC85 - J85)</f>
        <v/>
      </c>
      <c r="AO85" s="18">
        <f>IF(AC85&gt;J85, (AC85-J85)*2700000, 0)</f>
        <v/>
      </c>
      <c r="AP85" s="18">
        <f>IF(J85&gt;AC85, (J85-AC85)*6000000, 0)</f>
        <v/>
      </c>
      <c r="AQ85" s="18">
        <f>AO85 + AP85 + Z85</f>
        <v/>
      </c>
    </row>
    <row r="86">
      <c r="A86" s="17" t="inlineStr">
        <is>
          <t>Ngày 84 (23/07)</t>
        </is>
      </c>
      <c r="B86" s="18" t="n">
        <v>30.6</v>
      </c>
      <c r="C86" s="18" t="n">
        <v>0</v>
      </c>
      <c r="D86" s="18" t="n">
        <v>1</v>
      </c>
      <c r="E86" s="18" t="n">
        <v>102.1</v>
      </c>
      <c r="F86" s="18" t="n">
        <v>1</v>
      </c>
      <c r="G86" s="18" t="n">
        <v>116</v>
      </c>
      <c r="H86" s="18">
        <f>G86*IF(F86=1, 0.85, 0.8)</f>
        <v/>
      </c>
      <c r="I86" s="17" t="inlineStr">
        <is>
          <t>2-4</t>
        </is>
      </c>
      <c r="J86" s="18">
        <f>INT(H86/(18*0.95))</f>
        <v/>
      </c>
      <c r="K86" s="18">
        <f>ROUND(MOD(H86, (18*0.95)), 2)</f>
        <v/>
      </c>
      <c r="L86" s="18">
        <f>IF(K86&gt;0, ROUNDUP(K86/(5*0.95), 0), 0)</f>
        <v/>
      </c>
      <c r="M86" s="18">
        <f>J86+L86</f>
        <v/>
      </c>
      <c r="N86" s="18">
        <f>ROUND(TREND(G$3:G$94, E$3:E$94, E86), 1)</f>
        <v/>
      </c>
      <c r="O86" s="18">
        <f>ROUND(TREND(G$3:G$94, B$3:E$94, B86:E86), 1)</f>
        <v/>
      </c>
      <c r="P86" s="18">
        <f>ROUND(TREND(G$3:G$94, B$3:F$94, B86:F86), 1)</f>
        <v/>
      </c>
      <c r="Q86" s="18">
        <f>P86*IF(F86=1, 0.85, 0.8)</f>
        <v/>
      </c>
      <c r="R86" s="18">
        <f>INT(Q86/(18*0.95))</f>
        <v/>
      </c>
      <c r="S86" s="18">
        <f>ROUND(MOD(Q86, (18*0.95)), 2)</f>
        <v/>
      </c>
      <c r="T86" s="18">
        <f>IF(S86&gt;0, ROUNDUP(S86/(5*0.95), 0), 0)</f>
        <v/>
      </c>
      <c r="U86" s="18">
        <f>R86+T86</f>
        <v/>
      </c>
      <c r="V86" s="18">
        <f>ROUND(R86*70%, 0)</f>
        <v/>
      </c>
      <c r="W86" s="18">
        <f>MIN(ROUNDUP(R86*0.2, 0), MAX(0, R86 - V86))</f>
        <v/>
      </c>
      <c r="X86" s="17">
        <f>IF(C86&gt;20, "Hủy slot (Mưa &gt; 20mm)", "Kích hoạt")</f>
        <v/>
      </c>
      <c r="Y86" s="18">
        <f>IF(C86&gt;20, 0, W86)</f>
        <v/>
      </c>
      <c r="Z86" s="18">
        <f>IF(C86&gt;20, W86*0.2*AF86, 0)</f>
        <v/>
      </c>
      <c r="AA86" s="18">
        <f>MAX(0, J86 - V86 - Y86)</f>
        <v/>
      </c>
      <c r="AB86" s="18">
        <f>L86</f>
        <v/>
      </c>
      <c r="AC86" s="18">
        <f>V86 + Y86 + AA86</f>
        <v/>
      </c>
      <c r="AD86" s="18">
        <f>AC86 + AB86</f>
        <v/>
      </c>
      <c r="AE86" s="18" t="n">
        <v>9</v>
      </c>
      <c r="AF86" s="18">
        <f>IF(OR(B86&gt;=34, F86=1), 11700000, 9000000)</f>
        <v/>
      </c>
      <c r="AG86" s="18">
        <f>IF(OR(B86&gt;=34, F86=1), 4550000, 3500000)</f>
        <v/>
      </c>
      <c r="AH86" s="18" t="n">
        <v>0.02</v>
      </c>
      <c r="AI86" s="18">
        <f>AVERAGE(J83:J85)</f>
        <v/>
      </c>
      <c r="AJ86" s="18">
        <f>ABS(J86 - AI86)</f>
        <v/>
      </c>
      <c r="AK86" s="18">
        <f>IF(AI86="", 0, IF(AI86&gt;J86, (AI86-J86)*2700000, 0))</f>
        <v/>
      </c>
      <c r="AL86" s="18">
        <f>IF(AI86="", 0, IF(J86&gt;AI86, (J86-AI86)*6000000, 0))</f>
        <v/>
      </c>
      <c r="AM86" s="18">
        <f>AK86 + AL86</f>
        <v/>
      </c>
      <c r="AN86" s="18">
        <f>ABS(AC86 - J86)</f>
        <v/>
      </c>
      <c r="AO86" s="18">
        <f>IF(AC86&gt;J86, (AC86-J86)*2700000, 0)</f>
        <v/>
      </c>
      <c r="AP86" s="18">
        <f>IF(J86&gt;AC86, (J86-AC86)*6000000, 0)</f>
        <v/>
      </c>
      <c r="AQ86" s="18">
        <f>AO86 + AP86 + Z86</f>
        <v/>
      </c>
    </row>
    <row r="87">
      <c r="A87" s="17" t="inlineStr">
        <is>
          <t>Ngày 85 (24/07)</t>
        </is>
      </c>
      <c r="B87" s="18" t="n">
        <v>31.2</v>
      </c>
      <c r="C87" s="18" t="n">
        <v>0</v>
      </c>
      <c r="D87" s="18" t="n">
        <v>1</v>
      </c>
      <c r="E87" s="18" t="n">
        <v>86.40000000000001</v>
      </c>
      <c r="F87" s="18" t="n">
        <v>1</v>
      </c>
      <c r="G87" s="18" t="n">
        <v>97</v>
      </c>
      <c r="H87" s="18">
        <f>G87*IF(F87=1, 0.85, 0.8)</f>
        <v/>
      </c>
      <c r="I87" s="17" t="inlineStr">
        <is>
          <t>2-4</t>
        </is>
      </c>
      <c r="J87" s="18">
        <f>INT(H87/(18*0.95))</f>
        <v/>
      </c>
      <c r="K87" s="18">
        <f>ROUND(MOD(H87, (18*0.95)), 2)</f>
        <v/>
      </c>
      <c r="L87" s="18">
        <f>IF(K87&gt;0, ROUNDUP(K87/(5*0.95), 0), 0)</f>
        <v/>
      </c>
      <c r="M87" s="18">
        <f>J87+L87</f>
        <v/>
      </c>
      <c r="N87" s="18">
        <f>ROUND(TREND(G$3:G$94, E$3:E$94, E87), 1)</f>
        <v/>
      </c>
      <c r="O87" s="18">
        <f>ROUND(TREND(G$3:G$94, B$3:E$94, B87:E87), 1)</f>
        <v/>
      </c>
      <c r="P87" s="18">
        <f>ROUND(TREND(G$3:G$94, B$3:F$94, B87:F87), 1)</f>
        <v/>
      </c>
      <c r="Q87" s="18">
        <f>P87*IF(F87=1, 0.85, 0.8)</f>
        <v/>
      </c>
      <c r="R87" s="18">
        <f>INT(Q87/(18*0.95))</f>
        <v/>
      </c>
      <c r="S87" s="18">
        <f>ROUND(MOD(Q87, (18*0.95)), 2)</f>
        <v/>
      </c>
      <c r="T87" s="18">
        <f>IF(S87&gt;0, ROUNDUP(S87/(5*0.95), 0), 0)</f>
        <v/>
      </c>
      <c r="U87" s="18">
        <f>R87+T87</f>
        <v/>
      </c>
      <c r="V87" s="18">
        <f>ROUND(R87*70%, 0)</f>
        <v/>
      </c>
      <c r="W87" s="18">
        <f>MIN(ROUNDUP(R87*0.2, 0), MAX(0, R87 - V87))</f>
        <v/>
      </c>
      <c r="X87" s="17">
        <f>IF(C87&gt;20, "Hủy slot (Mưa &gt; 20mm)", "Kích hoạt")</f>
        <v/>
      </c>
      <c r="Y87" s="18">
        <f>IF(C87&gt;20, 0, W87)</f>
        <v/>
      </c>
      <c r="Z87" s="18">
        <f>IF(C87&gt;20, W87*0.2*AF87, 0)</f>
        <v/>
      </c>
      <c r="AA87" s="18">
        <f>MAX(0, J87 - V87 - Y87)</f>
        <v/>
      </c>
      <c r="AB87" s="18">
        <f>L87</f>
        <v/>
      </c>
      <c r="AC87" s="18">
        <f>V87 + Y87 + AA87</f>
        <v/>
      </c>
      <c r="AD87" s="18">
        <f>AC87 + AB87</f>
        <v/>
      </c>
      <c r="AE87" s="18" t="n">
        <v>9</v>
      </c>
      <c r="AF87" s="18">
        <f>IF(OR(B87&gt;=34, F87=1), 11700000, 9000000)</f>
        <v/>
      </c>
      <c r="AG87" s="18">
        <f>IF(OR(B87&gt;=34, F87=1), 4550000, 3500000)</f>
        <v/>
      </c>
      <c r="AH87" s="18" t="n">
        <v>0.02</v>
      </c>
      <c r="AI87" s="18">
        <f>AVERAGE(J84:J86)</f>
        <v/>
      </c>
      <c r="AJ87" s="18">
        <f>ABS(J87 - AI87)</f>
        <v/>
      </c>
      <c r="AK87" s="18">
        <f>IF(AI87="", 0, IF(AI87&gt;J87, (AI87-J87)*2700000, 0))</f>
        <v/>
      </c>
      <c r="AL87" s="18">
        <f>IF(AI87="", 0, IF(J87&gt;AI87, (J87-AI87)*6000000, 0))</f>
        <v/>
      </c>
      <c r="AM87" s="18">
        <f>AK87 + AL87</f>
        <v/>
      </c>
      <c r="AN87" s="18">
        <f>ABS(AC87 - J87)</f>
        <v/>
      </c>
      <c r="AO87" s="18">
        <f>IF(AC87&gt;J87, (AC87-J87)*2700000, 0)</f>
        <v/>
      </c>
      <c r="AP87" s="18">
        <f>IF(J87&gt;AC87, (J87-AC87)*6000000, 0)</f>
        <v/>
      </c>
      <c r="AQ87" s="18">
        <f>AO87 + AP87 + Z87</f>
        <v/>
      </c>
    </row>
    <row r="88">
      <c r="A88" s="17" t="inlineStr">
        <is>
          <t>Ngày 86 (25/07)</t>
        </is>
      </c>
      <c r="B88" s="18" t="n">
        <v>30.2</v>
      </c>
      <c r="C88" s="18" t="n">
        <v>25</v>
      </c>
      <c r="D88" s="18" t="n">
        <v>1</v>
      </c>
      <c r="E88" s="18" t="n">
        <v>60.2</v>
      </c>
      <c r="F88" s="18" t="n">
        <v>0</v>
      </c>
      <c r="G88" s="18" t="n">
        <v>42.4</v>
      </c>
      <c r="H88" s="18">
        <f>G88*IF(F88=1, 0.85, 0.8)</f>
        <v/>
      </c>
      <c r="I88" s="17" t="inlineStr">
        <is>
          <t>2-4</t>
        </is>
      </c>
      <c r="J88" s="18">
        <f>INT(H88/(18*0.95))</f>
        <v/>
      </c>
      <c r="K88" s="18">
        <f>ROUND(MOD(H88, (18*0.95)), 2)</f>
        <v/>
      </c>
      <c r="L88" s="18">
        <f>IF(K88&gt;0, ROUNDUP(K88/(5*0.95), 0), 0)</f>
        <v/>
      </c>
      <c r="M88" s="18">
        <f>J88+L88</f>
        <v/>
      </c>
      <c r="N88" s="18">
        <f>ROUND(TREND(G$3:G$94, E$3:E$94, E88), 1)</f>
        <v/>
      </c>
      <c r="O88" s="18">
        <f>ROUND(TREND(G$3:G$94, B$3:E$94, B88:E88), 1)</f>
        <v/>
      </c>
      <c r="P88" s="18">
        <f>ROUND(TREND(G$3:G$94, B$3:F$94, B88:F88), 1)</f>
        <v/>
      </c>
      <c r="Q88" s="18">
        <f>P88*IF(F88=1, 0.85, 0.8)</f>
        <v/>
      </c>
      <c r="R88" s="18">
        <f>INT(Q88/(18*0.95))</f>
        <v/>
      </c>
      <c r="S88" s="18">
        <f>ROUND(MOD(Q88, (18*0.95)), 2)</f>
        <v/>
      </c>
      <c r="T88" s="18">
        <f>IF(S88&gt;0, ROUNDUP(S88/(5*0.95), 0), 0)</f>
        <v/>
      </c>
      <c r="U88" s="18">
        <f>R88+T88</f>
        <v/>
      </c>
      <c r="V88" s="18">
        <f>ROUND(R88*70%, 0)</f>
        <v/>
      </c>
      <c r="W88" s="18">
        <f>MIN(ROUNDUP(R88*0.2, 0), MAX(0, R88 - V88))</f>
        <v/>
      </c>
      <c r="X88" s="17">
        <f>IF(C88&gt;20, "Hủy slot (Mưa &gt; 20mm)", "Kích hoạt")</f>
        <v/>
      </c>
      <c r="Y88" s="18">
        <f>IF(C88&gt;20, 0, W88)</f>
        <v/>
      </c>
      <c r="Z88" s="18">
        <f>IF(C88&gt;20, W88*0.2*AF88, 0)</f>
        <v/>
      </c>
      <c r="AA88" s="18">
        <f>MAX(0, J88 - V88 - Y88)</f>
        <v/>
      </c>
      <c r="AB88" s="18">
        <f>L88</f>
        <v/>
      </c>
      <c r="AC88" s="18">
        <f>V88 + Y88 + AA88</f>
        <v/>
      </c>
      <c r="AD88" s="18">
        <f>AC88 + AB88</f>
        <v/>
      </c>
      <c r="AE88" s="18" t="n">
        <v>9</v>
      </c>
      <c r="AF88" s="18">
        <f>IF(OR(B88&gt;=34, F88=1), 11700000, 9000000)</f>
        <v/>
      </c>
      <c r="AG88" s="18">
        <f>IF(OR(B88&gt;=34, F88=1), 4550000, 3500000)</f>
        <v/>
      </c>
      <c r="AH88" s="18" t="n">
        <v>0.02</v>
      </c>
      <c r="AI88" s="18">
        <f>AVERAGE(J85:J87)</f>
        <v/>
      </c>
      <c r="AJ88" s="18">
        <f>ABS(J88 - AI88)</f>
        <v/>
      </c>
      <c r="AK88" s="18">
        <f>IF(AI88="", 0, IF(AI88&gt;J88, (AI88-J88)*2700000, 0))</f>
        <v/>
      </c>
      <c r="AL88" s="18">
        <f>IF(AI88="", 0, IF(J88&gt;AI88, (J88-AI88)*6000000, 0))</f>
        <v/>
      </c>
      <c r="AM88" s="18">
        <f>AK88 + AL88</f>
        <v/>
      </c>
      <c r="AN88" s="18">
        <f>ABS(AC88 - J88)</f>
        <v/>
      </c>
      <c r="AO88" s="18">
        <f>IF(AC88&gt;J88, (AC88-J88)*2700000, 0)</f>
        <v/>
      </c>
      <c r="AP88" s="18">
        <f>IF(J88&gt;AC88, (J88-AC88)*6000000, 0)</f>
        <v/>
      </c>
      <c r="AQ88" s="18">
        <f>AO88 + AP88 + Z88</f>
        <v/>
      </c>
    </row>
    <row r="89">
      <c r="A89" s="17" t="inlineStr">
        <is>
          <t>Ngày 87 (26/07)</t>
        </is>
      </c>
      <c r="B89" s="18" t="n">
        <v>30.1</v>
      </c>
      <c r="C89" s="18" t="n">
        <v>0</v>
      </c>
      <c r="D89" s="18" t="n">
        <v>1</v>
      </c>
      <c r="E89" s="18" t="n">
        <v>44.2</v>
      </c>
      <c r="F89" s="18" t="n">
        <v>0</v>
      </c>
      <c r="G89" s="18" t="n">
        <v>55.5</v>
      </c>
      <c r="H89" s="18">
        <f>G89*IF(F89=1, 0.85, 0.8)</f>
        <v/>
      </c>
      <c r="I89" s="17" t="inlineStr">
        <is>
          <t>2-4</t>
        </is>
      </c>
      <c r="J89" s="18">
        <f>INT(H89/(18*0.95))</f>
        <v/>
      </c>
      <c r="K89" s="18">
        <f>ROUND(MOD(H89, (18*0.95)), 2)</f>
        <v/>
      </c>
      <c r="L89" s="18">
        <f>IF(K89&gt;0, ROUNDUP(K89/(5*0.95), 0), 0)</f>
        <v/>
      </c>
      <c r="M89" s="18">
        <f>J89+L89</f>
        <v/>
      </c>
      <c r="N89" s="18">
        <f>ROUND(TREND(G$3:G$94, E$3:E$94, E89), 1)</f>
        <v/>
      </c>
      <c r="O89" s="18">
        <f>ROUND(TREND(G$3:G$94, B$3:E$94, B89:E89), 1)</f>
        <v/>
      </c>
      <c r="P89" s="18">
        <f>ROUND(TREND(G$3:G$94, B$3:F$94, B89:F89), 1)</f>
        <v/>
      </c>
      <c r="Q89" s="18">
        <f>P89*IF(F89=1, 0.85, 0.8)</f>
        <v/>
      </c>
      <c r="R89" s="18">
        <f>INT(Q89/(18*0.95))</f>
        <v/>
      </c>
      <c r="S89" s="18">
        <f>ROUND(MOD(Q89, (18*0.95)), 2)</f>
        <v/>
      </c>
      <c r="T89" s="18">
        <f>IF(S89&gt;0, ROUNDUP(S89/(5*0.95), 0), 0)</f>
        <v/>
      </c>
      <c r="U89" s="18">
        <f>R89+T89</f>
        <v/>
      </c>
      <c r="V89" s="18">
        <f>ROUND(R89*70%, 0)</f>
        <v/>
      </c>
      <c r="W89" s="18">
        <f>MIN(ROUNDUP(R89*0.2, 0), MAX(0, R89 - V89))</f>
        <v/>
      </c>
      <c r="X89" s="17">
        <f>IF(C89&gt;20, "Hủy slot (Mưa &gt; 20mm)", "Kích hoạt")</f>
        <v/>
      </c>
      <c r="Y89" s="18">
        <f>IF(C89&gt;20, 0, W89)</f>
        <v/>
      </c>
      <c r="Z89" s="18">
        <f>IF(C89&gt;20, W89*0.2*AF89, 0)</f>
        <v/>
      </c>
      <c r="AA89" s="18">
        <f>MAX(0, J89 - V89 - Y89)</f>
        <v/>
      </c>
      <c r="AB89" s="18">
        <f>L89</f>
        <v/>
      </c>
      <c r="AC89" s="18">
        <f>V89 + Y89 + AA89</f>
        <v/>
      </c>
      <c r="AD89" s="18">
        <f>AC89 + AB89</f>
        <v/>
      </c>
      <c r="AE89" s="18" t="n">
        <v>9</v>
      </c>
      <c r="AF89" s="18">
        <f>IF(OR(B89&gt;=34, F89=1), 11700000, 9000000)</f>
        <v/>
      </c>
      <c r="AG89" s="18">
        <f>IF(OR(B89&gt;=34, F89=1), 4550000, 3500000)</f>
        <v/>
      </c>
      <c r="AH89" s="18" t="n">
        <v>0.02</v>
      </c>
      <c r="AI89" s="18">
        <f>AVERAGE(J86:J88)</f>
        <v/>
      </c>
      <c r="AJ89" s="18">
        <f>ABS(J89 - AI89)</f>
        <v/>
      </c>
      <c r="AK89" s="18">
        <f>IF(AI89="", 0, IF(AI89&gt;J89, (AI89-J89)*2700000, 0))</f>
        <v/>
      </c>
      <c r="AL89" s="18">
        <f>IF(AI89="", 0, IF(J89&gt;AI89, (J89-AI89)*6000000, 0))</f>
        <v/>
      </c>
      <c r="AM89" s="18">
        <f>AK89 + AL89</f>
        <v/>
      </c>
      <c r="AN89" s="18">
        <f>ABS(AC89 - J89)</f>
        <v/>
      </c>
      <c r="AO89" s="18">
        <f>IF(AC89&gt;J89, (AC89-J89)*2700000, 0)</f>
        <v/>
      </c>
      <c r="AP89" s="18">
        <f>IF(J89&gt;AC89, (J89-AC89)*6000000, 0)</f>
        <v/>
      </c>
      <c r="AQ89" s="18">
        <f>AO89 + AP89 + Z89</f>
        <v/>
      </c>
    </row>
    <row r="90">
      <c r="A90" s="17" t="inlineStr">
        <is>
          <t>Ngày 88 (27/07)</t>
        </is>
      </c>
      <c r="B90" s="18" t="n">
        <v>28</v>
      </c>
      <c r="C90" s="18" t="n">
        <v>0</v>
      </c>
      <c r="D90" s="18" t="n">
        <v>1</v>
      </c>
      <c r="E90" s="18" t="n">
        <v>43.6</v>
      </c>
      <c r="F90" s="18" t="n">
        <v>0</v>
      </c>
      <c r="G90" s="18" t="n">
        <v>34.1</v>
      </c>
      <c r="H90" s="18">
        <f>G90*IF(F90=1, 0.85, 0.8)</f>
        <v/>
      </c>
      <c r="I90" s="17" t="inlineStr">
        <is>
          <t>2-4</t>
        </is>
      </c>
      <c r="J90" s="18">
        <f>INT(H90/(18*0.95))</f>
        <v/>
      </c>
      <c r="K90" s="18">
        <f>ROUND(MOD(H90, (18*0.95)), 2)</f>
        <v/>
      </c>
      <c r="L90" s="18">
        <f>IF(K90&gt;0, ROUNDUP(K90/(5*0.95), 0), 0)</f>
        <v/>
      </c>
      <c r="M90" s="18">
        <f>J90+L90</f>
        <v/>
      </c>
      <c r="N90" s="18">
        <f>ROUND(TREND(G$3:G$94, E$3:E$94, E90), 1)</f>
        <v/>
      </c>
      <c r="O90" s="18">
        <f>ROUND(TREND(G$3:G$94, B$3:E$94, B90:E90), 1)</f>
        <v/>
      </c>
      <c r="P90" s="18">
        <f>ROUND(TREND(G$3:G$94, B$3:F$94, B90:F90), 1)</f>
        <v/>
      </c>
      <c r="Q90" s="18">
        <f>P90*IF(F90=1, 0.85, 0.8)</f>
        <v/>
      </c>
      <c r="R90" s="18">
        <f>INT(Q90/(18*0.95))</f>
        <v/>
      </c>
      <c r="S90" s="18">
        <f>ROUND(MOD(Q90, (18*0.95)), 2)</f>
        <v/>
      </c>
      <c r="T90" s="18">
        <f>IF(S90&gt;0, ROUNDUP(S90/(5*0.95), 0), 0)</f>
        <v/>
      </c>
      <c r="U90" s="18">
        <f>R90+T90</f>
        <v/>
      </c>
      <c r="V90" s="18">
        <f>ROUND(R90*70%, 0)</f>
        <v/>
      </c>
      <c r="W90" s="18">
        <f>MIN(ROUNDUP(R90*0.2, 0), MAX(0, R90 - V90))</f>
        <v/>
      </c>
      <c r="X90" s="17">
        <f>IF(C90&gt;20, "Hủy slot (Mưa &gt; 20mm)", "Kích hoạt")</f>
        <v/>
      </c>
      <c r="Y90" s="18">
        <f>IF(C90&gt;20, 0, W90)</f>
        <v/>
      </c>
      <c r="Z90" s="18">
        <f>IF(C90&gt;20, W90*0.2*AF90, 0)</f>
        <v/>
      </c>
      <c r="AA90" s="18">
        <f>MAX(0, J90 - V90 - Y90)</f>
        <v/>
      </c>
      <c r="AB90" s="18">
        <f>L90</f>
        <v/>
      </c>
      <c r="AC90" s="18">
        <f>V90 + Y90 + AA90</f>
        <v/>
      </c>
      <c r="AD90" s="18">
        <f>AC90 + AB90</f>
        <v/>
      </c>
      <c r="AE90" s="18" t="n">
        <v>9</v>
      </c>
      <c r="AF90" s="18">
        <f>IF(OR(B90&gt;=34, F90=1), 11700000, 9000000)</f>
        <v/>
      </c>
      <c r="AG90" s="18">
        <f>IF(OR(B90&gt;=34, F90=1), 4550000, 3500000)</f>
        <v/>
      </c>
      <c r="AH90" s="18" t="n">
        <v>0.02</v>
      </c>
      <c r="AI90" s="18">
        <f>AVERAGE(J87:J89)</f>
        <v/>
      </c>
      <c r="AJ90" s="18">
        <f>ABS(J90 - AI90)</f>
        <v/>
      </c>
      <c r="AK90" s="18">
        <f>IF(AI90="", 0, IF(AI90&gt;J90, (AI90-J90)*2700000, 0))</f>
        <v/>
      </c>
      <c r="AL90" s="18">
        <f>IF(AI90="", 0, IF(J90&gt;AI90, (J90-AI90)*6000000, 0))</f>
        <v/>
      </c>
      <c r="AM90" s="18">
        <f>AK90 + AL90</f>
        <v/>
      </c>
      <c r="AN90" s="18">
        <f>ABS(AC90 - J90)</f>
        <v/>
      </c>
      <c r="AO90" s="18">
        <f>IF(AC90&gt;J90, (AC90-J90)*2700000, 0)</f>
        <v/>
      </c>
      <c r="AP90" s="18">
        <f>IF(J90&gt;AC90, (J90-AC90)*6000000, 0)</f>
        <v/>
      </c>
      <c r="AQ90" s="18">
        <f>AO90 + AP90 + Z90</f>
        <v/>
      </c>
    </row>
    <row r="91">
      <c r="A91" s="17" t="inlineStr">
        <is>
          <t>Ngày 89 (28/07)</t>
        </is>
      </c>
      <c r="B91" s="18" t="n">
        <v>27.5</v>
      </c>
      <c r="C91" s="18" t="n">
        <v>40</v>
      </c>
      <c r="D91" s="18" t="n">
        <v>1</v>
      </c>
      <c r="E91" s="18" t="n">
        <v>28.4</v>
      </c>
      <c r="F91" s="18" t="n">
        <v>0</v>
      </c>
      <c r="G91" s="18" t="n">
        <v>24.5</v>
      </c>
      <c r="H91" s="18">
        <f>G91*IF(F91=1, 0.85, 0.8)</f>
        <v/>
      </c>
      <c r="I91" s="17" t="inlineStr">
        <is>
          <t>2-4</t>
        </is>
      </c>
      <c r="J91" s="18">
        <f>INT(H91/(18*0.95))</f>
        <v/>
      </c>
      <c r="K91" s="18">
        <f>ROUND(MOD(H91, (18*0.95)), 2)</f>
        <v/>
      </c>
      <c r="L91" s="18">
        <f>IF(K91&gt;0, ROUNDUP(K91/(5*0.95), 0), 0)</f>
        <v/>
      </c>
      <c r="M91" s="18">
        <f>J91+L91</f>
        <v/>
      </c>
      <c r="N91" s="18">
        <f>ROUND(TREND(G$3:G$94, E$3:E$94, E91), 1)</f>
        <v/>
      </c>
      <c r="O91" s="18">
        <f>ROUND(TREND(G$3:G$94, B$3:E$94, B91:E91), 1)</f>
        <v/>
      </c>
      <c r="P91" s="18">
        <f>ROUND(TREND(G$3:G$94, B$3:F$94, B91:F91), 1)</f>
        <v/>
      </c>
      <c r="Q91" s="18">
        <f>P91*IF(F91=1, 0.85, 0.8)</f>
        <v/>
      </c>
      <c r="R91" s="18">
        <f>INT(Q91/(18*0.95))</f>
        <v/>
      </c>
      <c r="S91" s="18">
        <f>ROUND(MOD(Q91, (18*0.95)), 2)</f>
        <v/>
      </c>
      <c r="T91" s="18">
        <f>IF(S91&gt;0, ROUNDUP(S91/(5*0.95), 0), 0)</f>
        <v/>
      </c>
      <c r="U91" s="18">
        <f>R91+T91</f>
        <v/>
      </c>
      <c r="V91" s="18">
        <f>ROUND(R91*70%, 0)</f>
        <v/>
      </c>
      <c r="W91" s="18">
        <f>MIN(ROUNDUP(R91*0.2, 0), MAX(0, R91 - V91))</f>
        <v/>
      </c>
      <c r="X91" s="17">
        <f>IF(C91&gt;20, "Hủy slot (Mưa &gt; 20mm)", "Kích hoạt")</f>
        <v/>
      </c>
      <c r="Y91" s="18">
        <f>IF(C91&gt;20, 0, W91)</f>
        <v/>
      </c>
      <c r="Z91" s="18">
        <f>IF(C91&gt;20, W91*0.2*AF91, 0)</f>
        <v/>
      </c>
      <c r="AA91" s="18">
        <f>MAX(0, J91 - V91 - Y91)</f>
        <v/>
      </c>
      <c r="AB91" s="18">
        <f>L91</f>
        <v/>
      </c>
      <c r="AC91" s="18">
        <f>V91 + Y91 + AA91</f>
        <v/>
      </c>
      <c r="AD91" s="18">
        <f>AC91 + AB91</f>
        <v/>
      </c>
      <c r="AE91" s="18" t="n">
        <v>9</v>
      </c>
      <c r="AF91" s="18">
        <f>IF(OR(B91&gt;=34, F91=1), 11700000, 9000000)</f>
        <v/>
      </c>
      <c r="AG91" s="18">
        <f>IF(OR(B91&gt;=34, F91=1), 4550000, 3500000)</f>
        <v/>
      </c>
      <c r="AH91" s="18" t="n">
        <v>0.02</v>
      </c>
      <c r="AI91" s="18">
        <f>AVERAGE(J88:J90)</f>
        <v/>
      </c>
      <c r="AJ91" s="18">
        <f>ABS(J91 - AI91)</f>
        <v/>
      </c>
      <c r="AK91" s="18">
        <f>IF(AI91="", 0, IF(AI91&gt;J91, (AI91-J91)*2700000, 0))</f>
        <v/>
      </c>
      <c r="AL91" s="18">
        <f>IF(AI91="", 0, IF(J91&gt;AI91, (J91-AI91)*6000000, 0))</f>
        <v/>
      </c>
      <c r="AM91" s="18">
        <f>AK91 + AL91</f>
        <v/>
      </c>
      <c r="AN91" s="18">
        <f>ABS(AC91 - J91)</f>
        <v/>
      </c>
      <c r="AO91" s="18">
        <f>IF(AC91&gt;J91, (AC91-J91)*2700000, 0)</f>
        <v/>
      </c>
      <c r="AP91" s="18">
        <f>IF(J91&gt;AC91, (J91-AC91)*6000000, 0)</f>
        <v/>
      </c>
      <c r="AQ91" s="18">
        <f>AO91 + AP91 + Z91</f>
        <v/>
      </c>
    </row>
    <row r="92">
      <c r="A92" s="17" t="inlineStr">
        <is>
          <t>Ngày 90 (29/07)</t>
        </is>
      </c>
      <c r="B92" s="18" t="n">
        <v>29.6</v>
      </c>
      <c r="C92" s="18" t="n">
        <v>0</v>
      </c>
      <c r="D92" s="18" t="n">
        <v>1</v>
      </c>
      <c r="E92" s="18" t="n">
        <v>23.4</v>
      </c>
      <c r="F92" s="18" t="n">
        <v>0</v>
      </c>
      <c r="G92" s="18" t="n">
        <v>23.1</v>
      </c>
      <c r="H92" s="18">
        <f>G92*IF(F92=1, 0.85, 0.8)</f>
        <v/>
      </c>
      <c r="I92" s="17" t="inlineStr">
        <is>
          <t>2-4</t>
        </is>
      </c>
      <c r="J92" s="18">
        <f>INT(H92/(18*0.95))</f>
        <v/>
      </c>
      <c r="K92" s="18">
        <f>ROUND(MOD(H92, (18*0.95)), 2)</f>
        <v/>
      </c>
      <c r="L92" s="18">
        <f>IF(K92&gt;0, ROUNDUP(K92/(5*0.95), 0), 0)</f>
        <v/>
      </c>
      <c r="M92" s="18">
        <f>J92+L92</f>
        <v/>
      </c>
      <c r="N92" s="18">
        <f>ROUND(TREND(G$3:G$94, E$3:E$94, E92), 1)</f>
        <v/>
      </c>
      <c r="O92" s="18">
        <f>ROUND(TREND(G$3:G$94, B$3:E$94, B92:E92), 1)</f>
        <v/>
      </c>
      <c r="P92" s="18">
        <f>ROUND(TREND(G$3:G$94, B$3:F$94, B92:F92), 1)</f>
        <v/>
      </c>
      <c r="Q92" s="18">
        <f>P92*IF(F92=1, 0.85, 0.8)</f>
        <v/>
      </c>
      <c r="R92" s="18">
        <f>INT(Q92/(18*0.95))</f>
        <v/>
      </c>
      <c r="S92" s="18">
        <f>ROUND(MOD(Q92, (18*0.95)), 2)</f>
        <v/>
      </c>
      <c r="T92" s="18">
        <f>IF(S92&gt;0, ROUNDUP(S92/(5*0.95), 0), 0)</f>
        <v/>
      </c>
      <c r="U92" s="18">
        <f>R92+T92</f>
        <v/>
      </c>
      <c r="V92" s="18">
        <f>ROUND(R92*70%, 0)</f>
        <v/>
      </c>
      <c r="W92" s="18">
        <f>MIN(ROUNDUP(R92*0.2, 0), MAX(0, R92 - V92))</f>
        <v/>
      </c>
      <c r="X92" s="17">
        <f>IF(C92&gt;20, "Hủy slot (Mưa &gt; 20mm)", "Kích hoạt")</f>
        <v/>
      </c>
      <c r="Y92" s="18">
        <f>IF(C92&gt;20, 0, W92)</f>
        <v/>
      </c>
      <c r="Z92" s="18">
        <f>IF(C92&gt;20, W92*0.2*AF92, 0)</f>
        <v/>
      </c>
      <c r="AA92" s="18">
        <f>MAX(0, J92 - V92 - Y92)</f>
        <v/>
      </c>
      <c r="AB92" s="18">
        <f>L92</f>
        <v/>
      </c>
      <c r="AC92" s="18">
        <f>V92 + Y92 + AA92</f>
        <v/>
      </c>
      <c r="AD92" s="18">
        <f>AC92 + AB92</f>
        <v/>
      </c>
      <c r="AE92" s="18" t="n">
        <v>9</v>
      </c>
      <c r="AF92" s="18">
        <f>IF(OR(B92&gt;=34, F92=1), 11700000, 9000000)</f>
        <v/>
      </c>
      <c r="AG92" s="18">
        <f>IF(OR(B92&gt;=34, F92=1), 4550000, 3500000)</f>
        <v/>
      </c>
      <c r="AH92" s="18" t="n">
        <v>0.02</v>
      </c>
      <c r="AI92" s="18">
        <f>AVERAGE(J89:J91)</f>
        <v/>
      </c>
      <c r="AJ92" s="18">
        <f>ABS(J92 - AI92)</f>
        <v/>
      </c>
      <c r="AK92" s="18">
        <f>IF(AI92="", 0, IF(AI92&gt;J92, (AI92-J92)*2700000, 0))</f>
        <v/>
      </c>
      <c r="AL92" s="18">
        <f>IF(AI92="", 0, IF(J92&gt;AI92, (J92-AI92)*6000000, 0))</f>
        <v/>
      </c>
      <c r="AM92" s="18">
        <f>AK92 + AL92</f>
        <v/>
      </c>
      <c r="AN92" s="18">
        <f>ABS(AC92 - J92)</f>
        <v/>
      </c>
      <c r="AO92" s="18">
        <f>IF(AC92&gt;J92, (AC92-J92)*2700000, 0)</f>
        <v/>
      </c>
      <c r="AP92" s="18">
        <f>IF(J92&gt;AC92, (J92-AC92)*6000000, 0)</f>
        <v/>
      </c>
      <c r="AQ92" s="18">
        <f>AO92 + AP92 + Z92</f>
        <v/>
      </c>
    </row>
    <row r="93">
      <c r="A93" s="17" t="inlineStr">
        <is>
          <t>Ngày 91 (30/07)</t>
        </is>
      </c>
      <c r="B93" s="18" t="n">
        <v>31.6</v>
      </c>
      <c r="C93" s="18" t="n">
        <v>0</v>
      </c>
      <c r="D93" s="18" t="n">
        <v>1</v>
      </c>
      <c r="E93" s="18" t="n">
        <v>38.6</v>
      </c>
      <c r="F93" s="18" t="n">
        <v>1</v>
      </c>
      <c r="G93" s="18" t="n">
        <v>15</v>
      </c>
      <c r="H93" s="18">
        <f>G93*IF(F93=1, 0.85, 0.8)</f>
        <v/>
      </c>
      <c r="I93" s="17" t="inlineStr">
        <is>
          <t>2-4</t>
        </is>
      </c>
      <c r="J93" s="18">
        <f>INT(H93/(18*0.95))</f>
        <v/>
      </c>
      <c r="K93" s="18">
        <f>ROUND(MOD(H93, (18*0.95)), 2)</f>
        <v/>
      </c>
      <c r="L93" s="18">
        <f>IF(K93&gt;0, ROUNDUP(K93/(5*0.95), 0), 0)</f>
        <v/>
      </c>
      <c r="M93" s="18">
        <f>J93+L93</f>
        <v/>
      </c>
      <c r="N93" s="18">
        <f>ROUND(TREND(G$3:G$94, E$3:E$94, E93), 1)</f>
        <v/>
      </c>
      <c r="O93" s="18">
        <f>ROUND(TREND(G$3:G$94, B$3:E$94, B93:E93), 1)</f>
        <v/>
      </c>
      <c r="P93" s="18">
        <f>ROUND(TREND(G$3:G$94, B$3:F$94, B93:F93), 1)</f>
        <v/>
      </c>
      <c r="Q93" s="18">
        <f>P93*IF(F93=1, 0.85, 0.8)</f>
        <v/>
      </c>
      <c r="R93" s="18">
        <f>INT(Q93/(18*0.95))</f>
        <v/>
      </c>
      <c r="S93" s="18">
        <f>ROUND(MOD(Q93, (18*0.95)), 2)</f>
        <v/>
      </c>
      <c r="T93" s="18">
        <f>IF(S93&gt;0, ROUNDUP(S93/(5*0.95), 0), 0)</f>
        <v/>
      </c>
      <c r="U93" s="18">
        <f>R93+T93</f>
        <v/>
      </c>
      <c r="V93" s="18">
        <f>ROUND(R93*70%, 0)</f>
        <v/>
      </c>
      <c r="W93" s="18">
        <f>MIN(ROUNDUP(R93*0.2, 0), MAX(0, R93 - V93))</f>
        <v/>
      </c>
      <c r="X93" s="17">
        <f>IF(C93&gt;20, "Hủy slot (Mưa &gt; 20mm)", "Kích hoạt")</f>
        <v/>
      </c>
      <c r="Y93" s="18">
        <f>IF(C93&gt;20, 0, W93)</f>
        <v/>
      </c>
      <c r="Z93" s="18">
        <f>IF(C93&gt;20, W93*0.2*AF93, 0)</f>
        <v/>
      </c>
      <c r="AA93" s="18">
        <f>MAX(0, J93 - V93 - Y93)</f>
        <v/>
      </c>
      <c r="AB93" s="18">
        <f>L93</f>
        <v/>
      </c>
      <c r="AC93" s="18">
        <f>V93 + Y93 + AA93</f>
        <v/>
      </c>
      <c r="AD93" s="18">
        <f>AC93 + AB93</f>
        <v/>
      </c>
      <c r="AE93" s="18" t="n">
        <v>9</v>
      </c>
      <c r="AF93" s="18">
        <f>IF(OR(B93&gt;=34, F93=1), 11700000, 9000000)</f>
        <v/>
      </c>
      <c r="AG93" s="18">
        <f>IF(OR(B93&gt;=34, F93=1), 4550000, 3500000)</f>
        <v/>
      </c>
      <c r="AH93" s="18" t="n">
        <v>0.02</v>
      </c>
      <c r="AI93" s="18">
        <f>AVERAGE(J90:J92)</f>
        <v/>
      </c>
      <c r="AJ93" s="18">
        <f>ABS(J93 - AI93)</f>
        <v/>
      </c>
      <c r="AK93" s="18">
        <f>IF(AI93="", 0, IF(AI93&gt;J93, (AI93-J93)*2700000, 0))</f>
        <v/>
      </c>
      <c r="AL93" s="18">
        <f>IF(AI93="", 0, IF(J93&gt;AI93, (J93-AI93)*6000000, 0))</f>
        <v/>
      </c>
      <c r="AM93" s="18">
        <f>AK93 + AL93</f>
        <v/>
      </c>
      <c r="AN93" s="18">
        <f>ABS(AC93 - J93)</f>
        <v/>
      </c>
      <c r="AO93" s="18">
        <f>IF(AC93&gt;J93, (AC93-J93)*2700000, 0)</f>
        <v/>
      </c>
      <c r="AP93" s="18">
        <f>IF(J93&gt;AC93, (J93-AC93)*6000000, 0)</f>
        <v/>
      </c>
      <c r="AQ93" s="18">
        <f>AO93 + AP93 + Z93</f>
        <v/>
      </c>
    </row>
    <row r="94">
      <c r="A94" s="17" t="inlineStr">
        <is>
          <t>Ngày 92 (31/07)</t>
        </is>
      </c>
      <c r="B94" s="18" t="n">
        <v>29.8</v>
      </c>
      <c r="C94" s="18" t="n">
        <v>0</v>
      </c>
      <c r="D94" s="18" t="n">
        <v>1</v>
      </c>
      <c r="E94" s="18" t="n">
        <v>30.6</v>
      </c>
      <c r="F94" s="18" t="n">
        <v>1</v>
      </c>
      <c r="G94" s="18" t="n">
        <v>15</v>
      </c>
      <c r="H94" s="18">
        <f>G94*IF(F94=1, 0.85, 0.8)</f>
        <v/>
      </c>
      <c r="I94" s="17" t="inlineStr">
        <is>
          <t>2-4</t>
        </is>
      </c>
      <c r="J94" s="18">
        <f>INT(H94/(18*0.95))</f>
        <v/>
      </c>
      <c r="K94" s="18">
        <f>ROUND(MOD(H94, (18*0.95)), 2)</f>
        <v/>
      </c>
      <c r="L94" s="18">
        <f>IF(K94&gt;0, ROUNDUP(K94/(5*0.95), 0), 0)</f>
        <v/>
      </c>
      <c r="M94" s="18">
        <f>J94+L94</f>
        <v/>
      </c>
      <c r="N94" s="18">
        <f>ROUND(TREND(G$3:G$94, E$3:E$94, E94), 1)</f>
        <v/>
      </c>
      <c r="O94" s="18">
        <f>ROUND(TREND(G$3:G$94, B$3:E$94, B94:E94), 1)</f>
        <v/>
      </c>
      <c r="P94" s="18">
        <f>ROUND(TREND(G$3:G$94, B$3:F$94, B94:F94), 1)</f>
        <v/>
      </c>
      <c r="Q94" s="18">
        <f>P94*IF(F94=1, 0.85, 0.8)</f>
        <v/>
      </c>
      <c r="R94" s="18">
        <f>INT(Q94/(18*0.95))</f>
        <v/>
      </c>
      <c r="S94" s="18">
        <f>ROUND(MOD(Q94, (18*0.95)), 2)</f>
        <v/>
      </c>
      <c r="T94" s="18">
        <f>IF(S94&gt;0, ROUNDUP(S94/(5*0.95), 0), 0)</f>
        <v/>
      </c>
      <c r="U94" s="18">
        <f>R94+T94</f>
        <v/>
      </c>
      <c r="V94" s="18">
        <f>ROUND(R94*70%, 0)</f>
        <v/>
      </c>
      <c r="W94" s="18">
        <f>MIN(ROUNDUP(R94*0.2, 0), MAX(0, R94 - V94))</f>
        <v/>
      </c>
      <c r="X94" s="17">
        <f>IF(C94&gt;20, "Hủy slot (Mưa &gt; 20mm)", "Kích hoạt")</f>
        <v/>
      </c>
      <c r="Y94" s="18">
        <f>IF(C94&gt;20, 0, W94)</f>
        <v/>
      </c>
      <c r="Z94" s="18">
        <f>IF(C94&gt;20, W94*0.2*AF94, 0)</f>
        <v/>
      </c>
      <c r="AA94" s="18">
        <f>MAX(0, J94 - V94 - Y94)</f>
        <v/>
      </c>
      <c r="AB94" s="18">
        <f>L94</f>
        <v/>
      </c>
      <c r="AC94" s="18">
        <f>V94 + Y94 + AA94</f>
        <v/>
      </c>
      <c r="AD94" s="18">
        <f>AC94 + AB94</f>
        <v/>
      </c>
      <c r="AE94" s="18" t="n">
        <v>9</v>
      </c>
      <c r="AF94" s="18">
        <f>IF(OR(B94&gt;=34, F94=1), 11700000, 9000000)</f>
        <v/>
      </c>
      <c r="AG94" s="18">
        <f>IF(OR(B94&gt;=34, F94=1), 4550000, 3500000)</f>
        <v/>
      </c>
      <c r="AH94" s="18" t="n">
        <v>0.02</v>
      </c>
      <c r="AI94" s="18">
        <f>AVERAGE(J91:J93)</f>
        <v/>
      </c>
      <c r="AJ94" s="18">
        <f>ABS(J94 - AI94)</f>
        <v/>
      </c>
      <c r="AK94" s="18">
        <f>IF(AI94="", 0, IF(AI94&gt;J94, (AI94-J94)*2700000, 0))</f>
        <v/>
      </c>
      <c r="AL94" s="18">
        <f>IF(AI94="", 0, IF(J94&gt;AI94, (J94-AI94)*6000000, 0))</f>
        <v/>
      </c>
      <c r="AM94" s="18">
        <f>AK94 + AL94</f>
        <v/>
      </c>
      <c r="AN94" s="18">
        <f>ABS(AC94 - J94)</f>
        <v/>
      </c>
      <c r="AO94" s="18">
        <f>IF(AC94&gt;J94, (AC94-J94)*2700000, 0)</f>
        <v/>
      </c>
      <c r="AP94" s="18">
        <f>IF(J94&gt;AC94, (J94-AC94)*6000000, 0)</f>
        <v/>
      </c>
      <c r="AQ94" s="18">
        <f>AO94 + AP94 + Z94</f>
        <v/>
      </c>
    </row>
    <row r="95"/>
    <row r="96">
      <c r="B96" s="19" t="inlineStr">
        <is>
          <t>BẢNG TỔNG HỢP KPI SO SÁNH HIỆU QUẢ: BASELINE VS. FROSTLINK (92 NGÀY MÙA VỤ)</t>
        </is>
      </c>
    </row>
    <row r="97">
      <c r="B97" s="20" t="inlineStr">
        <is>
          <t>Chỉ số KPI Đánh giá</t>
        </is>
      </c>
      <c r="C97" s="20" t="inlineStr">
        <is>
          <t>Mô hình nền (Baseline)</t>
        </is>
      </c>
      <c r="D97" s="20" t="inlineStr">
        <is>
          <t>FrostLink (Đề xuất)</t>
        </is>
      </c>
      <c r="E97" s="20" t="inlineStr">
        <is>
          <t>Chênh lệch (Mức giảm)</t>
        </is>
      </c>
      <c r="F97" s="20" t="inlineStr">
        <is>
          <t>Tỷ lệ cải thiện (%)</t>
        </is>
      </c>
    </row>
    <row r="98">
      <c r="B98" s="21" t="inlineStr">
        <is>
          <t>Sai số số xe trung bình (Truck MAE - Xe/ngày)</t>
        </is>
      </c>
      <c r="C98" s="22">
        <f>AVERAGE(AJ6:AJ94)</f>
        <v/>
      </c>
      <c r="D98" s="22">
        <f>AVERAGE(AN6:AN94)</f>
        <v/>
      </c>
      <c r="E98" s="22">
        <f>C98-D98</f>
        <v/>
      </c>
      <c r="F98" s="22">
        <f>(C98-D98)/C98</f>
        <v/>
      </c>
    </row>
    <row r="99">
      <c r="B99" s="21" t="inlineStr">
        <is>
          <t>Sai số phần trăm có trọng số (Truck WAPE)</t>
        </is>
      </c>
      <c r="C99" s="22">
        <f>SUM(AJ6:AJ94)/SUM(J6:J94)</f>
        <v/>
      </c>
      <c r="D99" s="22">
        <f>SUM(AN6:AN94)/SUM(J6:J94)</f>
        <v/>
      </c>
      <c r="E99" s="22">
        <f>C99-D99</f>
        <v/>
      </c>
      <c r="F99" s="22">
        <f>(C99-D99)/C99</f>
        <v/>
      </c>
    </row>
    <row r="100">
      <c r="B100" s="23" t="inlineStr">
        <is>
          <t>Sai số sản lượng MAE (Tấn/ngày)</t>
        </is>
      </c>
      <c r="C100" s="22">
        <f>AVERAGE(AJ6:AJ94)*(18*0.95)</f>
        <v/>
      </c>
      <c r="D100" s="22">
        <f>D98*(18*0.95)</f>
        <v/>
      </c>
      <c r="E100" s="22">
        <f>C100-D100</f>
        <v/>
      </c>
      <c r="F100" s="22">
        <f>(C100-D100)/C100</f>
        <v/>
      </c>
    </row>
    <row r="101">
      <c r="B101" s="23" t="inlineStr">
        <is>
          <t>Tổng chi phí thừa xe C_over (VNĐ)</t>
        </is>
      </c>
      <c r="C101" s="22">
        <f>SUM(AK3:AK94)</f>
        <v/>
      </c>
      <c r="D101" s="22">
        <f>SUM(AO3:AO94)</f>
        <v/>
      </c>
      <c r="E101" s="22">
        <f>C101-D101</f>
        <v/>
      </c>
      <c r="F101" s="22">
        <f>IF(C101=0, 0, (C101-D101)/C101)</f>
        <v/>
      </c>
    </row>
    <row r="102">
      <c r="B102" s="23" t="inlineStr">
        <is>
          <t>Tổng chi phí thiếu xe C_under (VNĐ)</t>
        </is>
      </c>
      <c r="C102" s="22">
        <f>SUM(AL3:AL94)</f>
        <v/>
      </c>
      <c r="D102" s="22">
        <f>SUM(AP3:AP94)</f>
        <v/>
      </c>
      <c r="E102" s="22">
        <f>C102-D102</f>
        <v/>
      </c>
      <c r="F102" s="22">
        <f>IF(C102=0, 0, (C102-D102)/C102)</f>
        <v/>
      </c>
    </row>
    <row r="103">
      <c r="B103" s="23" t="inlineStr">
        <is>
          <t>Chi phí phạt hủy cọc Lớp 2 (VNĐ)</t>
        </is>
      </c>
      <c r="C103" s="22" t="n">
        <v>0</v>
      </c>
      <c r="D103" s="22">
        <f>SUM(Z3:Z94)</f>
        <v/>
      </c>
      <c r="E103" s="22">
        <f>C103-D103</f>
        <v/>
      </c>
      <c r="F103" s="22">
        <f>IF(C103=0, "N/A", (C103-D103)/C103)</f>
        <v/>
      </c>
    </row>
    <row r="104">
      <c r="B104" s="24" t="inlineStr">
        <is>
          <t>TỔNG CHI PHÍ RỦI RO CHUỖI LẠNH (VNĐ)</t>
        </is>
      </c>
      <c r="C104" s="25">
        <f>SUM(AM3:AM94)</f>
        <v/>
      </c>
      <c r="D104" s="25">
        <f>SUM(AQ3:AQ94)</f>
        <v/>
      </c>
      <c r="E104" s="24">
        <f>C104-D104</f>
        <v/>
      </c>
      <c r="F104" s="24">
        <f>(C104-D104)/C104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2026-09-16T10:06:43Z</dcterms:created>
  <dcterms:modified xmlns:dcterms="http://purl.org/dc/terms/" xmlns:xsi="http://www.w3.org/2001/XMLSchema-instance" xsi:type="dcterms:W3CDTF">2026-09-16T10:06:44Z</dcterms:modified>
</cp:coreProperties>
</file>