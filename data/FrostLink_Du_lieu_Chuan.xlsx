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1" autoFilterDateGrouping="1"/>
  </bookViews>
  <sheets>
    <sheet xmlns:r="http://schemas.openxmlformats.org/officeDocument/2006/relationships" name="Dữ liệu mới" sheetId="1" state="visible" r:id="rId1"/>
    <sheet xmlns:r="http://schemas.openxmlformats.org/officeDocument/2006/relationships" name="Fina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#,##0\ &quot;đ&quot;"/>
    <numFmt numFmtId="166" formatCode="#,##0&quot; đ&quot;"/>
    <numFmt numFmtId="167" formatCode="d\-m"/>
    <numFmt numFmtId="168" formatCode="#,##0&quot;%&quot;"/>
    <numFmt numFmtId="169" formatCode="#,##0\%"/>
    <numFmt numFmtId="170" formatCode="&quot;THÁNG &quot;m/yyyy"/>
  </numFmts>
  <fonts count="11">
    <font>
      <name val="Arial"/>
      <color rgb="FF000000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8"/>
    </font>
    <font>
      <name val="Arial"/>
      <b val="1"/>
      <color theme="1"/>
      <sz val="10"/>
      <scheme val="minor"/>
    </font>
    <font>
      <name val="Arial"/>
      <sz val="10"/>
    </font>
    <font>
      <name val="Arial"/>
      <b val="1"/>
      <color theme="1"/>
      <sz val="10"/>
    </font>
    <font>
      <name val="Arial"/>
      <color theme="1"/>
      <sz val="10"/>
      <scheme val="minor"/>
    </font>
    <font>
      <name val="Arial"/>
      <color theme="1"/>
      <sz val="11"/>
    </font>
    <font>
      <name val="Arial"/>
      <color theme="1"/>
      <sz val="10"/>
    </font>
    <font>
      <name val="Arial"/>
      <b val="1"/>
      <color theme="1"/>
      <sz val="11"/>
      <scheme val="minor"/>
    </font>
    <font>
      <name val="Arial"/>
      <b val="1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466"/>
        <bgColor rgb="FFFFF466"/>
      </patternFill>
    </fill>
    <fill>
      <patternFill patternType="solid">
        <fgColor rgb="FFEEEEEE"/>
        <bgColor rgb="FFEEEEEE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4"/>
  </cellStyleXfs>
  <cellXfs count="56">
    <xf numFmtId="0" fontId="0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wrapText="1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 vertical="center"/>
    </xf>
    <xf numFmtId="9" fontId="6" fillId="0" borderId="5" applyAlignment="1" pivotButton="0" quotePrefix="0" xfId="0">
      <alignment horizontal="center" vertical="center"/>
    </xf>
    <xf numFmtId="49" fontId="5" fillId="2" borderId="2" applyAlignment="1" pivotButton="0" quotePrefix="0" xfId="0">
      <alignment horizontal="center" wrapText="1"/>
    </xf>
    <xf numFmtId="0" fontId="7" fillId="0" borderId="5" applyAlignment="1" pivotButton="0" quotePrefix="0" xfId="0">
      <alignment horizontal="center"/>
    </xf>
    <xf numFmtId="9" fontId="7" fillId="0" borderId="5" applyAlignment="1" pivotButton="0" quotePrefix="0" xfId="0">
      <alignment horizontal="center"/>
    </xf>
    <xf numFmtId="164" fontId="6" fillId="0" borderId="5" applyAlignment="1" pivotButton="0" quotePrefix="0" xfId="0">
      <alignment horizontal="center" vertical="center"/>
    </xf>
    <xf numFmtId="49" fontId="6" fillId="0" borderId="5" applyAlignment="1" pivotButton="0" quotePrefix="1" xfId="0">
      <alignment horizontal="center" vertical="center"/>
    </xf>
    <xf numFmtId="164" fontId="7" fillId="0" borderId="5" applyAlignment="1" pivotButton="0" quotePrefix="0" xfId="0">
      <alignment horizontal="center"/>
    </xf>
    <xf numFmtId="49" fontId="7" fillId="0" borderId="5" applyAlignment="1" pivotButton="0" quotePrefix="0" xfId="0">
      <alignment horizontal="center"/>
    </xf>
    <xf numFmtId="165" fontId="6" fillId="0" borderId="5" applyAlignment="1" pivotButton="0" quotePrefix="0" xfId="0">
      <alignment horizontal="center" vertical="center"/>
    </xf>
    <xf numFmtId="166" fontId="7" fillId="0" borderId="5" applyAlignment="1" pivotButton="0" quotePrefix="0" xfId="0">
      <alignment horizontal="center"/>
    </xf>
    <xf numFmtId="167" fontId="6" fillId="0" borderId="5" applyAlignment="1" pivotButton="0" quotePrefix="0" xfId="0">
      <alignment horizontal="center" vertical="center"/>
    </xf>
    <xf numFmtId="165" fontId="6" fillId="0" borderId="5" applyAlignment="1" pivotButton="0" quotePrefix="0" xfId="0">
      <alignment horizontal="right" vertical="center"/>
    </xf>
    <xf numFmtId="168" fontId="6" fillId="0" borderId="5" applyAlignment="1" pivotButton="0" quotePrefix="0" xfId="0">
      <alignment horizontal="center" vertical="center"/>
    </xf>
    <xf numFmtId="166" fontId="7" fillId="0" borderId="5" applyAlignment="1" pivotButton="0" quotePrefix="0" xfId="0">
      <alignment horizontal="right"/>
    </xf>
    <xf numFmtId="169" fontId="7" fillId="0" borderId="5" applyAlignment="1" pivotButton="0" quotePrefix="0" xfId="0">
      <alignment horizontal="center"/>
    </xf>
    <xf numFmtId="164" fontId="8" fillId="0" borderId="5" pivotButton="0" quotePrefix="0" xfId="0"/>
    <xf numFmtId="0" fontId="6" fillId="0" borderId="0" applyAlignment="1" pivotButton="0" quotePrefix="0" xfId="0">
      <alignment horizontal="right"/>
    </xf>
    <xf numFmtId="0" fontId="3" fillId="3" borderId="9" applyAlignment="1" pivotButton="0" quotePrefix="0" xfId="0">
      <alignment horizontal="center" vertical="center"/>
    </xf>
    <xf numFmtId="4" fontId="6" fillId="3" borderId="9" applyAlignment="1" pivotButton="0" quotePrefix="0" xfId="0">
      <alignment horizontal="center" vertical="center"/>
    </xf>
    <xf numFmtId="10" fontId="6" fillId="3" borderId="9" applyAlignment="1" pivotButton="0" quotePrefix="0" xfId="0">
      <alignment horizontal="center" vertical="center"/>
    </xf>
    <xf numFmtId="165" fontId="6" fillId="3" borderId="9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165" fontId="10" fillId="3" borderId="9" applyAlignment="1" pivotButton="0" quotePrefix="0" xfId="0">
      <alignment horizontal="center" vertical="center"/>
    </xf>
    <xf numFmtId="10" fontId="10" fillId="3" borderId="9" applyAlignment="1" pivotButton="0" quotePrefix="0" xfId="0">
      <alignment horizontal="center" vertical="center"/>
    </xf>
    <xf numFmtId="49" fontId="6" fillId="0" borderId="0" pivotButton="0" quotePrefix="0" xfId="0"/>
    <xf numFmtId="170" fontId="2" fillId="2" borderId="1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9" fillId="3" borderId="6" applyAlignment="1" pivotButton="0" quotePrefix="0" xfId="0">
      <alignment horizontal="center" vertical="center"/>
    </xf>
    <xf numFmtId="0" fontId="4" fillId="0" borderId="7" pivotButton="0" quotePrefix="0" xfId="0"/>
    <xf numFmtId="0" fontId="4" fillId="0" borderId="8" pivotButton="0" quotePrefix="0" xfId="0"/>
    <xf numFmtId="17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170" fontId="1" fillId="2" borderId="4" applyAlignment="1" pivotButton="0" quotePrefix="0" xfId="0">
      <alignment horizontal="center" vertical="center"/>
    </xf>
    <xf numFmtId="164" fontId="6" fillId="0" borderId="5" applyAlignment="1" pivotButton="0" quotePrefix="0" xfId="0">
      <alignment horizontal="center" vertical="center"/>
    </xf>
    <xf numFmtId="165" fontId="6" fillId="0" borderId="5" applyAlignment="1" pivotButton="0" quotePrefix="0" xfId="0">
      <alignment horizontal="center" vertical="center"/>
    </xf>
    <xf numFmtId="167" fontId="6" fillId="0" borderId="5" applyAlignment="1" pivotButton="0" quotePrefix="0" xfId="0">
      <alignment horizontal="center" vertical="center"/>
    </xf>
    <xf numFmtId="165" fontId="6" fillId="0" borderId="5" applyAlignment="1" pivotButton="0" quotePrefix="0" xfId="0">
      <alignment horizontal="right" vertical="center"/>
    </xf>
    <xf numFmtId="168" fontId="6" fillId="0" borderId="5" applyAlignment="1" pivotButton="0" quotePrefix="0" xfId="0">
      <alignment horizontal="center" vertical="center"/>
    </xf>
    <xf numFmtId="0" fontId="9" fillId="3" borderId="9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5" fontId="6" fillId="3" borderId="9" applyAlignment="1" pivotButton="0" quotePrefix="0" xfId="0">
      <alignment horizontal="center" vertical="center"/>
    </xf>
    <xf numFmtId="165" fontId="10" fillId="3" borderId="9" applyAlignment="1" pivotButton="0" quotePrefix="0" xfId="0">
      <alignment horizontal="center" vertical="center"/>
    </xf>
    <xf numFmtId="170" fontId="2" fillId="2" borderId="4" applyAlignment="1" pivotButton="0" quotePrefix="0" xfId="0">
      <alignment horizontal="center"/>
    </xf>
    <xf numFmtId="164" fontId="7" fillId="0" borderId="5" applyAlignment="1" pivotButton="0" quotePrefix="0" xfId="0">
      <alignment horizontal="center"/>
    </xf>
    <xf numFmtId="166" fontId="7" fillId="0" borderId="5" applyAlignment="1" pivotButton="0" quotePrefix="0" xfId="0">
      <alignment horizontal="center"/>
    </xf>
    <xf numFmtId="166" fontId="7" fillId="0" borderId="5" applyAlignment="1" pivotButton="0" quotePrefix="0" xfId="0">
      <alignment horizontal="right"/>
    </xf>
    <xf numFmtId="169" fontId="7" fillId="0" borderId="5" applyAlignment="1" pivotButton="0" quotePrefix="0" xfId="0">
      <alignment horizontal="center"/>
    </xf>
    <xf numFmtId="164" fontId="8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100"/>
  <sheetViews>
    <sheetView workbookViewId="0">
      <pane ySplit="2" topLeftCell="A3" activePane="bottomLeft" state="frozen"/>
      <selection pane="bottomLeft" activeCell="P4" sqref="P4"/>
    </sheetView>
  </sheetViews>
  <sheetFormatPr baseColWidth="8" defaultColWidth="12.5703125" defaultRowHeight="15.75" customHeight="1"/>
  <cols>
    <col width="21.140625" customWidth="1" style="38" min="1" max="1"/>
    <col width="43.28515625" customWidth="1" style="38" min="2" max="2"/>
    <col width="21.5703125" customWidth="1" style="38" min="3" max="3"/>
    <col width="25.28515625" customWidth="1" style="38" min="4" max="4"/>
    <col width="20.5703125" customWidth="1" style="38" min="5" max="5"/>
    <col width="16.5703125" customWidth="1" style="38" min="6" max="6"/>
    <col width="16.42578125" customWidth="1" style="38" min="7" max="7"/>
    <col width="16.140625" customWidth="1" style="38" min="8" max="8"/>
    <col width="14.7109375" customWidth="1" style="38" min="9" max="9"/>
    <col width="14.28515625" customWidth="1" style="38" min="10" max="10"/>
    <col width="9.5703125" customWidth="1" style="38" min="11" max="13"/>
    <col width="19.5703125" customWidth="1" style="38" min="14" max="14"/>
    <col width="17" customWidth="1" style="38" min="15" max="15"/>
    <col width="22.28515625" customWidth="1" style="38" min="16" max="16"/>
    <col width="24.5703125" customWidth="1" style="38" min="17" max="17"/>
    <col width="10.5703125" customWidth="1" style="38" min="18" max="18"/>
    <col width="17.5703125" customWidth="1" style="38" min="19" max="19"/>
    <col width="20.7109375" customWidth="1" style="38" min="20" max="20"/>
    <col width="20.140625" customWidth="1" style="38" min="21" max="21"/>
    <col width="10.140625" customWidth="1" style="38" min="22" max="22"/>
    <col width="16" customWidth="1" style="38" min="23" max="23"/>
    <col width="13.140625" customWidth="1" style="38" min="24" max="25"/>
    <col width="11.140625" customWidth="1" style="38" min="26" max="26"/>
    <col width="16.42578125" customWidth="1" style="38" min="27" max="27"/>
    <col width="13.42578125" customWidth="1" style="38" min="28" max="28"/>
    <col width="12.7109375" customWidth="1" style="38" min="29" max="29"/>
    <col width="14" customWidth="1" style="38" min="30" max="30"/>
    <col width="15" customWidth="1" style="38" min="31" max="31"/>
    <col width="22.140625" customWidth="1" style="38" min="32" max="32"/>
    <col width="14.140625" customWidth="1" style="38" min="33" max="33"/>
    <col width="14.5703125" customWidth="1" style="38" min="34" max="34"/>
    <col width="15.5703125" customWidth="1" style="38" min="35" max="35"/>
    <col width="22.5703125" customWidth="1" style="38" min="36" max="36"/>
  </cols>
  <sheetData>
    <row r="1" ht="30" customHeight="1" s="38">
      <c r="A1" s="39" t="n">
        <v>46174</v>
      </c>
    </row>
    <row r="2" ht="33" customHeight="1" s="38">
      <c r="A2" s="1" t="inlineStr">
        <is>
          <t>Ngày</t>
        </is>
      </c>
      <c r="B2" s="1" t="inlineStr">
        <is>
          <t>Temp_t (°C)</t>
        </is>
      </c>
      <c r="C2" s="1" t="inlineStr">
        <is>
          <t>Rain_t (mm)</t>
        </is>
      </c>
      <c r="D2" s="1" t="inlineStr">
        <is>
          <t>Ripe_t (%)</t>
        </is>
      </c>
      <c r="E2" s="1" t="inlineStr">
        <is>
          <t>Order_t (Tấn)</t>
        </is>
      </c>
      <c r="F2" s="1" t="inlineStr">
        <is>
          <t>PeakDay_t (0/1)</t>
        </is>
      </c>
      <c r="G2" s="1" t="inlineStr">
        <is>
          <t>Sản lượng thu hoạch (Tấn)</t>
        </is>
      </c>
      <c r="H2" s="1" t="inlineStr">
        <is>
          <t>Sản lượng đi xe lạnh (Tấn)</t>
        </is>
      </c>
      <c r="I2" s="1" t="inlineStr">
        <is>
          <t>Nhiệt độ yêu cầu (°C)</t>
        </is>
      </c>
      <c r="J2" s="1" t="inlineStr">
        <is>
          <t>Số xe yêu cầu</t>
        </is>
      </c>
      <c r="K2" s="1" t="inlineStr">
        <is>
          <t>Dự báo T+7 (Tấn)</t>
        </is>
      </c>
      <c r="L2" s="1" t="inlineStr">
        <is>
          <t>Dự báo T+3 (Tấn)</t>
        </is>
      </c>
      <c r="M2" s="1" t="inlineStr">
        <is>
          <t>Dự báo T+1 (Tấn)</t>
        </is>
      </c>
      <c r="N2" s="1" t="inlineStr">
        <is>
          <t>Nhu cầu xe FrostLink (18T)</t>
        </is>
      </c>
      <c r="O2" s="1" t="inlineStr">
        <is>
          <t>Lớp 1 - Cam kết cứng (70%)</t>
        </is>
      </c>
      <c r="P2" s="1" t="inlineStr">
        <is>
          <t>Lớp 2 - Quyền chọn linh hoạt (20%)</t>
        </is>
      </c>
      <c r="Q2" s="1" t="inlineStr">
        <is>
          <t>Trạng thái Lớp 2 (Hủy khi Mưa &gt; 20mm)</t>
        </is>
      </c>
      <c r="R2" s="1" t="inlineStr">
        <is>
          <t>Lớp 2 - Thực chạy</t>
        </is>
      </c>
      <c r="S2" s="1" t="inlineStr">
        <is>
          <t>Chi phí phạt cọc Lớp 2 (VNĐ)</t>
        </is>
      </c>
      <c r="T2" s="1" t="inlineStr">
        <is>
          <t>Lớp 3 - Giao ngay (Bù thực tế)</t>
        </is>
      </c>
      <c r="U2" s="1" t="inlineStr">
        <is>
          <t>Tổng số xe FrostLink thực chạy</t>
        </is>
      </c>
      <c r="V2" s="1" t="inlineStr">
        <is>
          <t>Số xe sẵn có</t>
        </is>
      </c>
      <c r="W2" s="1" t="inlineStr">
        <is>
          <t>Nhiệt độ xe sẵn có (°C)</t>
        </is>
      </c>
      <c r="X2" s="1" t="inlineStr">
        <is>
          <t>Thời gian tìm xe (Giờ)</t>
        </is>
      </c>
      <c r="Y2" s="1" t="inlineStr">
        <is>
          <t>Giá chốt xe (VNĐ)</t>
        </is>
      </c>
      <c r="Z2" s="1" t="inlineStr">
        <is>
          <t>Tỷ lệ hư hỏng (%)</t>
        </is>
      </c>
      <c r="AA2" s="1" t="inlineStr">
        <is>
          <t>Baseline (Dự báo thủ công)</t>
        </is>
      </c>
      <c r="AB2" s="1" t="inlineStr">
        <is>
          <t>Baseline - Sai số xe</t>
        </is>
      </c>
      <c r="AC2" s="1" t="inlineStr">
        <is>
          <t>Kiểm định nhiệt độ</t>
        </is>
      </c>
      <c r="AD2" s="1" t="inlineStr">
        <is>
          <t>Baseline - C_over (VNĐ)</t>
        </is>
      </c>
      <c r="AE2" s="1" t="inlineStr">
        <is>
          <t>Baseline - C_under (VNĐ)</t>
        </is>
      </c>
      <c r="AF2" s="1" t="inlineStr">
        <is>
          <t>Baseline - Tổng chi phí rủi ro (VNĐ)</t>
        </is>
      </c>
      <c r="AG2" s="1" t="inlineStr">
        <is>
          <t>FrostLink - Sai số xe</t>
        </is>
      </c>
      <c r="AH2" s="1" t="inlineStr">
        <is>
          <t>FrostLink - C_over (VNĐ)</t>
        </is>
      </c>
      <c r="AI2" s="1" t="inlineStr">
        <is>
          <t>FrostLink - C_under (VNĐ)</t>
        </is>
      </c>
      <c r="AJ2" s="1" t="inlineStr">
        <is>
          <t>FrostLink - Tổng chi phí rủi ro (VNĐ)</t>
        </is>
      </c>
      <c r="AK2" s="3" t="n"/>
      <c r="AL2" s="3" t="n"/>
      <c r="AM2" s="3" t="n"/>
      <c r="AN2" s="3" t="n"/>
    </row>
    <row r="3" ht="12.75" customHeight="1" s="38">
      <c r="A3" s="4" t="inlineStr">
        <is>
          <t>Ngày 01</t>
        </is>
      </c>
      <c r="B3" s="4" t="n">
        <v>36</v>
      </c>
      <c r="C3" s="4" t="n">
        <v>0</v>
      </c>
      <c r="D3" s="5" t="n">
        <v>0.35</v>
      </c>
      <c r="E3" s="4" t="n">
        <v>22</v>
      </c>
      <c r="F3" s="4" t="n">
        <v>0</v>
      </c>
      <c r="G3" s="4" t="n">
        <v>20</v>
      </c>
      <c r="H3" s="40">
        <f>G3*IF(F3=1, 0.85, 0.8)</f>
        <v/>
      </c>
      <c r="I3" s="10" t="inlineStr">
        <is>
          <t>2-4</t>
        </is>
      </c>
      <c r="J3" s="4">
        <f>ROUNDUP(H3/4.8, 0)</f>
        <v/>
      </c>
      <c r="K3" s="40">
        <f>ROUND(TREND(G$3:G$32, E$3:E$32, E3), 1)</f>
        <v/>
      </c>
      <c r="L3" s="40">
        <f>ROUND(TREND(G$3:G$32, B$3:E$32, B3:E3), 1)</f>
        <v/>
      </c>
      <c r="M3" s="40">
        <f>ROUND(TREND(G$3:G$32, B$3:F$32, B3:F3), 1)</f>
        <v/>
      </c>
      <c r="N3" s="4">
        <f>ROUNDUP(L3*IF(F3=1, 0.85, 0.8)/4.8, 0)</f>
        <v/>
      </c>
      <c r="O3" s="4">
        <f>ROUND(N3*70%, 0)</f>
        <v/>
      </c>
      <c r="P3" s="4">
        <f>ROUND(N3*20%, 0)</f>
        <v/>
      </c>
      <c r="Q3" s="4">
        <f>IF(C3&gt;20, "Hủy slot (Mưa &gt; 20mm)", "Kích hoạt")</f>
        <v/>
      </c>
      <c r="R3" s="4">
        <f>IF(C3&gt;20, 0, P3)</f>
        <v/>
      </c>
      <c r="S3" s="41">
        <f>IF(C3&gt;20, P3*0.4*Y3, 0)</f>
        <v/>
      </c>
      <c r="T3" s="4">
        <f>MAX(0, J3 - O3 - R3)</f>
        <v/>
      </c>
      <c r="U3" s="4">
        <f>O3 + R3 + T3</f>
        <v/>
      </c>
      <c r="V3" s="4" t="n">
        <v>15</v>
      </c>
      <c r="W3" s="42" t="n">
        <v>46114</v>
      </c>
      <c r="X3" s="4" t="n">
        <v>2</v>
      </c>
      <c r="Y3" s="43">
        <f>IF(OR(B3&gt;=34, F3=1), 11700000, 9000000)</f>
        <v/>
      </c>
      <c r="Z3" s="44" t="n">
        <v>2</v>
      </c>
      <c r="AA3" s="40" t="n"/>
      <c r="AB3" s="40" t="n"/>
      <c r="AC3" s="4">
        <f>IF(OR(W3="8-10 (Lỗi)", W3="5-8 (Lỗi)"), "Loại", "Hợp lệ")</f>
        <v/>
      </c>
      <c r="AD3" s="43">
        <f>IF(AA3="", 0, IF(AA3&gt;J3, (AA3-J3)*1500000, 0))</f>
        <v/>
      </c>
      <c r="AE3" s="43">
        <f>IF(AA3="", 0, IF(J3&gt;AA3, (J3-AA3)*4500000, 0))</f>
        <v/>
      </c>
      <c r="AF3" s="43">
        <f>AD3 + AE3</f>
        <v/>
      </c>
      <c r="AG3" s="4">
        <f>ABS(J3 - N3)</f>
        <v/>
      </c>
      <c r="AH3" s="43">
        <f>IF(U3&gt;J3, (U3-J3)*1500000, 0)</f>
        <v/>
      </c>
      <c r="AI3" s="43">
        <f>IF(J3&gt;U3, (J3-U3)*4500000, 0)</f>
        <v/>
      </c>
      <c r="AJ3" s="43">
        <f>AH3 + AI3 + S3</f>
        <v/>
      </c>
    </row>
    <row r="4" ht="12.75" customHeight="1" s="38">
      <c r="A4" s="4" t="inlineStr">
        <is>
          <t>Ngày 02</t>
        </is>
      </c>
      <c r="B4" s="4" t="n">
        <v>36</v>
      </c>
      <c r="C4" s="4" t="n">
        <v>0</v>
      </c>
      <c r="D4" s="5" t="n">
        <v>0.5</v>
      </c>
      <c r="E4" s="4" t="n">
        <v>28</v>
      </c>
      <c r="F4" s="4" t="n">
        <v>0</v>
      </c>
      <c r="G4" s="4" t="n">
        <v>25</v>
      </c>
      <c r="H4" s="40">
        <f>G4*IF(F4=1, 0.85, 0.8)</f>
        <v/>
      </c>
      <c r="I4" s="10" t="inlineStr">
        <is>
          <t>2-4</t>
        </is>
      </c>
      <c r="J4" s="4">
        <f>ROUNDUP(H4/4.8, 0)</f>
        <v/>
      </c>
      <c r="K4" s="40">
        <f>ROUND(TREND(G$3:G$32, E$3:E$32, E4), 1)</f>
        <v/>
      </c>
      <c r="L4" s="40">
        <f>ROUND(TREND(G$3:G$32, B$3:E$32, B4:E4), 1)</f>
        <v/>
      </c>
      <c r="M4" s="40">
        <f>ROUND(TREND(G$3:G$32, B$3:F$32, B4:F4), 1)</f>
        <v/>
      </c>
      <c r="N4" s="4">
        <f>ROUNDUP(L4*IF(F4=1, 0.85, 0.8)/4.8, 0)</f>
        <v/>
      </c>
      <c r="O4" s="4">
        <f>ROUND(N4*70%, 0)</f>
        <v/>
      </c>
      <c r="P4" s="4">
        <f>ROUND(N4*20%, 0)</f>
        <v/>
      </c>
      <c r="Q4" s="4">
        <f>IF(C4&gt;20, "Hủy slot (Mưa &gt; 20mm)", "Kích hoạt")</f>
        <v/>
      </c>
      <c r="R4" s="4">
        <f>IF(C4&gt;20, 0, P4)</f>
        <v/>
      </c>
      <c r="S4" s="41">
        <f>IF(C4&gt;20, P4*0.4*Y4, 0)</f>
        <v/>
      </c>
      <c r="T4" s="4">
        <f>MAX(0, J4 - O4 - R4)</f>
        <v/>
      </c>
      <c r="U4" s="4">
        <f>O4 + R4 + T4</f>
        <v/>
      </c>
      <c r="V4" s="4" t="n">
        <v>14</v>
      </c>
      <c r="W4" s="42" t="n">
        <v>46114</v>
      </c>
      <c r="X4" s="4" t="n">
        <v>2</v>
      </c>
      <c r="Y4" s="43">
        <f>IF(OR(B4&gt;=34, F4=1), 11700000, 9000000)</f>
        <v/>
      </c>
      <c r="Z4" s="44" t="n">
        <v>2</v>
      </c>
      <c r="AA4" s="40" t="n"/>
      <c r="AB4" s="40" t="n"/>
      <c r="AC4" s="4">
        <f>IF(OR(W4="8-10 (Lỗi)", W4="5-8 (Lỗi)"), "Loại", "Hợp lệ")</f>
        <v/>
      </c>
      <c r="AD4" s="43">
        <f>IF(AA4="", 0, IF(AA4&gt;J4, (AA4-J4)*1500000, 0))</f>
        <v/>
      </c>
      <c r="AE4" s="43">
        <f>IF(AA4="", 0, IF(J4&gt;AA4, (J4-AA4)*4500000, 0))</f>
        <v/>
      </c>
      <c r="AF4" s="43">
        <f>AD4 + AE4</f>
        <v/>
      </c>
      <c r="AG4" s="4">
        <f>ABS(J4 - N4)</f>
        <v/>
      </c>
      <c r="AH4" s="43">
        <f>IF(U4&gt;J4, (U4-J4)*1500000, 0)</f>
        <v/>
      </c>
      <c r="AI4" s="43">
        <f>IF(J4&gt;U4, (J4-U4)*4500000, 0)</f>
        <v/>
      </c>
      <c r="AJ4" s="43">
        <f>AH4 + AI4 + S4</f>
        <v/>
      </c>
    </row>
    <row r="5" ht="12.75" customHeight="1" s="38">
      <c r="A5" s="4" t="inlineStr">
        <is>
          <t>Ngày 03</t>
        </is>
      </c>
      <c r="B5" s="4" t="n">
        <v>36</v>
      </c>
      <c r="C5" s="4" t="n">
        <v>0</v>
      </c>
      <c r="D5" s="5" t="n">
        <v>0.65</v>
      </c>
      <c r="E5" s="4" t="n">
        <v>35</v>
      </c>
      <c r="F5" s="4" t="n">
        <v>0</v>
      </c>
      <c r="G5" s="4" t="n">
        <v>15</v>
      </c>
      <c r="H5" s="40">
        <f>G5*IF(F5=1, 0.85, 0.8)</f>
        <v/>
      </c>
      <c r="I5" s="10" t="inlineStr">
        <is>
          <t>2-4</t>
        </is>
      </c>
      <c r="J5" s="4">
        <f>ROUNDUP(H5/4.8, 0)</f>
        <v/>
      </c>
      <c r="K5" s="40">
        <f>ROUND(TREND(G$3:G$32, E$3:E$32, E5), 1)</f>
        <v/>
      </c>
      <c r="L5" s="40">
        <f>ROUND(TREND(G$3:G$32, B$3:E$32, B5:E5), 1)</f>
        <v/>
      </c>
      <c r="M5" s="40">
        <f>ROUND(TREND(G$3:G$32, B$3:F$32, B5:F5), 1)</f>
        <v/>
      </c>
      <c r="N5" s="4">
        <f>ROUNDUP(L5*IF(F5=1, 0.85, 0.8)/4.8, 0)</f>
        <v/>
      </c>
      <c r="O5" s="4">
        <f>ROUND(N5*70%, 0)</f>
        <v/>
      </c>
      <c r="P5" s="4">
        <f>ROUND(N5*20%, 0)</f>
        <v/>
      </c>
      <c r="Q5" s="4">
        <f>IF(C5&gt;20, "Hủy slot (Mưa &gt; 20mm)", "Kích hoạt")</f>
        <v/>
      </c>
      <c r="R5" s="4">
        <f>IF(C5&gt;20, 0, P5)</f>
        <v/>
      </c>
      <c r="S5" s="41">
        <f>IF(C5&gt;20, P5*0.4*Y5, 0)</f>
        <v/>
      </c>
      <c r="T5" s="4">
        <f>MAX(0, J5 - O5 - R5)</f>
        <v/>
      </c>
      <c r="U5" s="4">
        <f>O5 + R5 + T5</f>
        <v/>
      </c>
      <c r="V5" s="4" t="n">
        <v>15</v>
      </c>
      <c r="W5" s="42" t="n">
        <v>46114</v>
      </c>
      <c r="X5" s="4" t="n">
        <v>1</v>
      </c>
      <c r="Y5" s="43">
        <f>IF(OR(B5&gt;=34, F5=1), 11700000, 9000000)</f>
        <v/>
      </c>
      <c r="Z5" s="44" t="n">
        <v>1</v>
      </c>
      <c r="AA5" s="40" t="n"/>
      <c r="AB5" s="40" t="n"/>
      <c r="AC5" s="4">
        <f>IF(OR(W5="8-10 (Lỗi)", W5="5-8 (Lỗi)"), "Loại", "Hợp lệ")</f>
        <v/>
      </c>
      <c r="AD5" s="43">
        <f>IF(AA5="", 0, IF(AA5&gt;J5, (AA5-J5)*1500000, 0))</f>
        <v/>
      </c>
      <c r="AE5" s="43">
        <f>IF(AA5="", 0, IF(J5&gt;AA5, (J5-AA5)*4500000, 0))</f>
        <v/>
      </c>
      <c r="AF5" s="43">
        <f>AD5 + AE5</f>
        <v/>
      </c>
      <c r="AG5" s="4">
        <f>ABS(J5 - N5)</f>
        <v/>
      </c>
      <c r="AH5" s="43">
        <f>IF(U5&gt;J5, (U5-J5)*1500000, 0)</f>
        <v/>
      </c>
      <c r="AI5" s="43">
        <f>IF(J5&gt;U5, (J5-U5)*4500000, 0)</f>
        <v/>
      </c>
      <c r="AJ5" s="43">
        <f>AH5 + AI5 + S5</f>
        <v/>
      </c>
    </row>
    <row r="6" ht="12.75" customHeight="1" s="38">
      <c r="A6" s="4" t="inlineStr">
        <is>
          <t>Ngày 04</t>
        </is>
      </c>
      <c r="B6" s="4" t="n">
        <v>33</v>
      </c>
      <c r="C6" s="4" t="n">
        <v>0</v>
      </c>
      <c r="D6" s="5" t="n">
        <v>0.75</v>
      </c>
      <c r="E6" s="4" t="n">
        <v>30</v>
      </c>
      <c r="F6" s="4" t="n">
        <v>0</v>
      </c>
      <c r="G6" s="4" t="n">
        <v>30</v>
      </c>
      <c r="H6" s="40">
        <f>G6*IF(F6=1, 0.85, 0.8)</f>
        <v/>
      </c>
      <c r="I6" s="10" t="inlineStr">
        <is>
          <t>2-4</t>
        </is>
      </c>
      <c r="J6" s="4">
        <f>ROUNDUP(H6/4.8, 0)</f>
        <v/>
      </c>
      <c r="K6" s="40">
        <f>ROUND(TREND(G$3:G$32, E$3:E$32, E6), 1)</f>
        <v/>
      </c>
      <c r="L6" s="40">
        <f>ROUND(TREND(G$3:G$32, B$3:E$32, B6:E6), 1)</f>
        <v/>
      </c>
      <c r="M6" s="40">
        <f>ROUND(TREND(G$3:G$32, B$3:F$32, B6:F6), 1)</f>
        <v/>
      </c>
      <c r="N6" s="4">
        <f>ROUNDUP(L6*IF(F6=1, 0.85, 0.8)/4.8, 0)</f>
        <v/>
      </c>
      <c r="O6" s="4">
        <f>ROUND(N6*70%, 0)</f>
        <v/>
      </c>
      <c r="P6" s="4">
        <f>ROUND(N6*20%, 0)</f>
        <v/>
      </c>
      <c r="Q6" s="4">
        <f>IF(C6&gt;20, "Hủy slot (Mưa &gt; 20mm)", "Kích hoạt")</f>
        <v/>
      </c>
      <c r="R6" s="4">
        <f>IF(C6&gt;20, 0, P6)</f>
        <v/>
      </c>
      <c r="S6" s="41">
        <f>IF(C6&gt;20, P6*0.4*Y6, 0)</f>
        <v/>
      </c>
      <c r="T6" s="4">
        <f>MAX(0, J6 - O6 - R6)</f>
        <v/>
      </c>
      <c r="U6" s="4">
        <f>O6 + R6 + T6</f>
        <v/>
      </c>
      <c r="V6" s="4" t="n">
        <v>13</v>
      </c>
      <c r="W6" s="42" t="n">
        <v>46114</v>
      </c>
      <c r="X6" s="4" t="n">
        <v>2</v>
      </c>
      <c r="Y6" s="43">
        <f>IF(OR(B6&gt;=34, F6=1), 11700000, 9000000)</f>
        <v/>
      </c>
      <c r="Z6" s="44" t="n">
        <v>2</v>
      </c>
      <c r="AA6" s="40">
        <f>AVERAGE(J3:J5)</f>
        <v/>
      </c>
      <c r="AB6" s="40">
        <f>ABS(J6 - AA6)</f>
        <v/>
      </c>
      <c r="AC6" s="4">
        <f>IF(OR(W6="8-10 (Lỗi)", W6="5-8 (Lỗi)"), "Loại", "Hợp lệ")</f>
        <v/>
      </c>
      <c r="AD6" s="43">
        <f>IF(AA6="", 0, IF(AA6&gt;J6, (AA6-J6)*1500000, 0))</f>
        <v/>
      </c>
      <c r="AE6" s="43">
        <f>IF(AA6="", 0, IF(J6&gt;AA6, (J6-AA6)*4500000, 0))</f>
        <v/>
      </c>
      <c r="AF6" s="43">
        <f>AD6 + AE6</f>
        <v/>
      </c>
      <c r="AG6" s="4">
        <f>ABS(J6 - N6)</f>
        <v/>
      </c>
      <c r="AH6" s="43">
        <f>IF(U6&gt;J6, (U6-J6)*1500000, 0)</f>
        <v/>
      </c>
      <c r="AI6" s="43">
        <f>IF(J6&gt;U6, (J6-U6)*4500000, 0)</f>
        <v/>
      </c>
      <c r="AJ6" s="43">
        <f>AH6 + AI6 + S6</f>
        <v/>
      </c>
    </row>
    <row r="7" ht="12.75" customHeight="1" s="38">
      <c r="A7" s="4" t="inlineStr">
        <is>
          <t>Ngày 05</t>
        </is>
      </c>
      <c r="B7" s="4" t="n">
        <v>30</v>
      </c>
      <c r="C7" s="4" t="n">
        <v>20</v>
      </c>
      <c r="D7" s="5" t="n">
        <v>0.8</v>
      </c>
      <c r="E7" s="4" t="n">
        <v>18</v>
      </c>
      <c r="F7" s="4" t="n">
        <v>1</v>
      </c>
      <c r="G7" s="4" t="n">
        <v>35</v>
      </c>
      <c r="H7" s="40">
        <f>G7*IF(F7=1, 0.85, 0.8)</f>
        <v/>
      </c>
      <c r="I7" s="10" t="inlineStr">
        <is>
          <t>2-4</t>
        </is>
      </c>
      <c r="J7" s="4">
        <f>ROUNDUP(H7/4.8, 0)</f>
        <v/>
      </c>
      <c r="K7" s="40">
        <f>ROUND(TREND(G$3:G$32, E$3:E$32, E7), 1)</f>
        <v/>
      </c>
      <c r="L7" s="40">
        <f>ROUND(TREND(G$3:G$32, B$3:E$32, B7:E7), 1)</f>
        <v/>
      </c>
      <c r="M7" s="40">
        <f>ROUND(TREND(G$3:G$32, B$3:F$32, B7:F7), 1)</f>
        <v/>
      </c>
      <c r="N7" s="4">
        <f>ROUNDUP(L7*IF(F7=1, 0.85, 0.8)/4.8, 0)</f>
        <v/>
      </c>
      <c r="O7" s="4">
        <f>ROUND(N7*70%, 0)</f>
        <v/>
      </c>
      <c r="P7" s="4">
        <f>ROUND(N7*20%, 0)</f>
        <v/>
      </c>
      <c r="Q7" s="4">
        <f>IF(C7&gt;20, "Hủy slot (Mưa &gt; 20mm)", "Kích hoạt")</f>
        <v/>
      </c>
      <c r="R7" s="4">
        <f>IF(C7&gt;20, 0, P7)</f>
        <v/>
      </c>
      <c r="S7" s="41">
        <f>IF(C7&gt;20, P7*0.4*Y7, 0)</f>
        <v/>
      </c>
      <c r="T7" s="4">
        <f>MAX(0, J7 - O7 - R7)</f>
        <v/>
      </c>
      <c r="U7" s="4">
        <f>O7 + R7 + T7</f>
        <v/>
      </c>
      <c r="V7" s="4" t="n">
        <v>10</v>
      </c>
      <c r="W7" s="42" t="n">
        <v>46114</v>
      </c>
      <c r="X7" s="4" t="n">
        <v>3</v>
      </c>
      <c r="Y7" s="43">
        <f>IF(OR(B7&gt;=34, F7=1), 11700000, 9000000)</f>
        <v/>
      </c>
      <c r="Z7" s="44" t="n">
        <v>3</v>
      </c>
      <c r="AA7" s="40">
        <f>AVERAGE(J4:J6)</f>
        <v/>
      </c>
      <c r="AB7" s="40">
        <f>ABS(J7 - AA7)</f>
        <v/>
      </c>
      <c r="AC7" s="4">
        <f>IF(OR(W7="8-10 (Lỗi)", W7="5-8 (Lỗi)"), "Loại", "Hợp lệ")</f>
        <v/>
      </c>
      <c r="AD7" s="43">
        <f>IF(AA7="", 0, IF(AA7&gt;J7, (AA7-J7)*1500000, 0))</f>
        <v/>
      </c>
      <c r="AE7" s="43">
        <f>IF(AA7="", 0, IF(J7&gt;AA7, (J7-AA7)*4500000, 0))</f>
        <v/>
      </c>
      <c r="AF7" s="43">
        <f>AD7 + AE7</f>
        <v/>
      </c>
      <c r="AG7" s="4">
        <f>ABS(J7 - N7)</f>
        <v/>
      </c>
      <c r="AH7" s="43">
        <f>IF(U7&gt;J7, (U7-J7)*1500000, 0)</f>
        <v/>
      </c>
      <c r="AI7" s="43">
        <f>IF(J7&gt;U7, (J7-U7)*4500000, 0)</f>
        <v/>
      </c>
      <c r="AJ7" s="43">
        <f>AH7 + AI7 + S7</f>
        <v/>
      </c>
    </row>
    <row r="8" ht="12.75" customHeight="1" s="38">
      <c r="A8" s="4" t="inlineStr">
        <is>
          <t>Ngày 06</t>
        </is>
      </c>
      <c r="B8" s="4" t="n">
        <v>34</v>
      </c>
      <c r="C8" s="4" t="n">
        <v>0</v>
      </c>
      <c r="D8" s="5" t="n">
        <v>0.88</v>
      </c>
      <c r="E8" s="4" t="n">
        <v>42</v>
      </c>
      <c r="F8" s="4" t="n">
        <v>1</v>
      </c>
      <c r="G8" s="4" t="n">
        <v>45</v>
      </c>
      <c r="H8" s="40">
        <f>G8*IF(F8=1, 0.85, 0.8)</f>
        <v/>
      </c>
      <c r="I8" s="10" t="inlineStr">
        <is>
          <t>2-4</t>
        </is>
      </c>
      <c r="J8" s="4">
        <f>ROUNDUP(H8/4.8, 0)</f>
        <v/>
      </c>
      <c r="K8" s="40">
        <f>ROUND(TREND(G$3:G$32, E$3:E$32, E8), 1)</f>
        <v/>
      </c>
      <c r="L8" s="40">
        <f>ROUND(TREND(G$3:G$32, B$3:E$32, B8:E8), 1)</f>
        <v/>
      </c>
      <c r="M8" s="40">
        <f>ROUND(TREND(G$3:G$32, B$3:F$32, B8:F8), 1)</f>
        <v/>
      </c>
      <c r="N8" s="4">
        <f>ROUNDUP(L8*IF(F8=1, 0.85, 0.8)/4.8, 0)</f>
        <v/>
      </c>
      <c r="O8" s="4">
        <f>ROUND(N8*70%, 0)</f>
        <v/>
      </c>
      <c r="P8" s="4">
        <f>ROUND(N8*20%, 0)</f>
        <v/>
      </c>
      <c r="Q8" s="4">
        <f>IF(C8&gt;20, "Hủy slot (Mưa &gt; 20mm)", "Kích hoạt")</f>
        <v/>
      </c>
      <c r="R8" s="4">
        <f>IF(C8&gt;20, 0, P8)</f>
        <v/>
      </c>
      <c r="S8" s="41">
        <f>IF(C8&gt;20, P8*0.4*Y8, 0)</f>
        <v/>
      </c>
      <c r="T8" s="4">
        <f>MAX(0, J8 - O8 - R8)</f>
        <v/>
      </c>
      <c r="U8" s="4">
        <f>O8 + R8 + T8</f>
        <v/>
      </c>
      <c r="V8" s="4" t="n">
        <v>9</v>
      </c>
      <c r="W8" s="42" t="n">
        <v>46114</v>
      </c>
      <c r="X8" s="4" t="n">
        <v>6</v>
      </c>
      <c r="Y8" s="43">
        <f>IF(OR(B8&gt;=34, F8=1), 11700000, 9000000)</f>
        <v/>
      </c>
      <c r="Z8" s="44" t="n">
        <v>5</v>
      </c>
      <c r="AA8" s="40">
        <f>AVERAGE(J5:J7)</f>
        <v/>
      </c>
      <c r="AB8" s="40">
        <f>ABS(J8 - AA8)</f>
        <v/>
      </c>
      <c r="AC8" s="4">
        <f>IF(OR(W8="8-10 (Lỗi)", W8="5-8 (Lỗi)"), "Loại", "Hợp lệ")</f>
        <v/>
      </c>
      <c r="AD8" s="43">
        <f>IF(AA8="", 0, IF(AA8&gt;J8, (AA8-J8)*1500000, 0))</f>
        <v/>
      </c>
      <c r="AE8" s="43">
        <f>IF(AA8="", 0, IF(J8&gt;AA8, (J8-AA8)*4500000, 0))</f>
        <v/>
      </c>
      <c r="AF8" s="43">
        <f>AD8 + AE8</f>
        <v/>
      </c>
      <c r="AG8" s="4">
        <f>ABS(J8 - N8)</f>
        <v/>
      </c>
      <c r="AH8" s="43">
        <f>IF(U8&gt;J8, (U8-J8)*1500000, 0)</f>
        <v/>
      </c>
      <c r="AI8" s="43">
        <f>IF(J8&gt;U8, (J8-U8)*4500000, 0)</f>
        <v/>
      </c>
      <c r="AJ8" s="43">
        <f>AH8 + AI8 + S8</f>
        <v/>
      </c>
    </row>
    <row r="9" ht="12.75" customHeight="1" s="38">
      <c r="A9" s="4" t="inlineStr">
        <is>
          <t>Ngày 07</t>
        </is>
      </c>
      <c r="B9" s="4" t="n">
        <v>37</v>
      </c>
      <c r="C9" s="4" t="n">
        <v>0</v>
      </c>
      <c r="D9" s="5" t="n">
        <v>0.95</v>
      </c>
      <c r="E9" s="4" t="n">
        <v>65</v>
      </c>
      <c r="F9" s="4" t="n">
        <v>0</v>
      </c>
      <c r="G9" s="4" t="n">
        <v>65</v>
      </c>
      <c r="H9" s="40">
        <f>G9*IF(F9=1, 0.85, 0.8)</f>
        <v/>
      </c>
      <c r="I9" s="10" t="inlineStr">
        <is>
          <t>2-4</t>
        </is>
      </c>
      <c r="J9" s="4">
        <f>ROUNDUP(H9/4.8, 0)</f>
        <v/>
      </c>
      <c r="K9" s="40">
        <f>ROUND(TREND(G$3:G$32, E$3:E$32, E9), 1)</f>
        <v/>
      </c>
      <c r="L9" s="40">
        <f>ROUND(TREND(G$3:G$32, B$3:E$32, B9:E9), 1)</f>
        <v/>
      </c>
      <c r="M9" s="40">
        <f>ROUND(TREND(G$3:G$32, B$3:F$32, B9:F9), 1)</f>
        <v/>
      </c>
      <c r="N9" s="4">
        <f>ROUNDUP(L9*IF(F9=1, 0.85, 0.8)/4.8, 0)</f>
        <v/>
      </c>
      <c r="O9" s="4">
        <f>ROUND(N9*70%, 0)</f>
        <v/>
      </c>
      <c r="P9" s="4">
        <f>ROUND(N9*20%, 0)</f>
        <v/>
      </c>
      <c r="Q9" s="4">
        <f>IF(C9&gt;20, "Hủy slot (Mưa &gt; 20mm)", "Kích hoạt")</f>
        <v/>
      </c>
      <c r="R9" s="4">
        <f>IF(C9&gt;20, 0, P9)</f>
        <v/>
      </c>
      <c r="S9" s="41">
        <f>IF(C9&gt;20, P9*0.4*Y9, 0)</f>
        <v/>
      </c>
      <c r="T9" s="4">
        <f>MAX(0, J9 - O9 - R9)</f>
        <v/>
      </c>
      <c r="U9" s="4">
        <f>O9 + R9 + T9</f>
        <v/>
      </c>
      <c r="V9" s="4" t="n">
        <v>15</v>
      </c>
      <c r="W9" s="42" t="n">
        <v>46114</v>
      </c>
      <c r="X9" s="4" t="n">
        <v>12</v>
      </c>
      <c r="Y9" s="43">
        <f>IF(OR(B9&gt;=34, F9=1), 11700000, 9000000)</f>
        <v/>
      </c>
      <c r="Z9" s="44" t="n">
        <v>10</v>
      </c>
      <c r="AA9" s="40">
        <f>AVERAGE(J6:J8)</f>
        <v/>
      </c>
      <c r="AB9" s="40">
        <f>ABS(J9 - AA9)</f>
        <v/>
      </c>
      <c r="AC9" s="4">
        <f>IF(OR(W9="8-10 (Lỗi)", W9="5-8 (Lỗi)"), "Loại", "Hợp lệ")</f>
        <v/>
      </c>
      <c r="AD9" s="43">
        <f>IF(AA9="", 0, IF(AA9&gt;J9, (AA9-J9)*1500000, 0))</f>
        <v/>
      </c>
      <c r="AE9" s="43">
        <f>IF(AA9="", 0, IF(J9&gt;AA9, (J9-AA9)*4500000, 0))</f>
        <v/>
      </c>
      <c r="AF9" s="43">
        <f>AD9 + AE9</f>
        <v/>
      </c>
      <c r="AG9" s="4">
        <f>ABS(J9 - N9)</f>
        <v/>
      </c>
      <c r="AH9" s="43">
        <f>IF(U9&gt;J9, (U9-J9)*1500000, 0)</f>
        <v/>
      </c>
      <c r="AI9" s="43">
        <f>IF(J9&gt;U9, (J9-U9)*4500000, 0)</f>
        <v/>
      </c>
      <c r="AJ9" s="43">
        <f>AH9 + AI9 + S9</f>
        <v/>
      </c>
    </row>
    <row r="10" ht="12.75" customHeight="1" s="38">
      <c r="A10" s="4" t="inlineStr">
        <is>
          <t>Ngày 08</t>
        </is>
      </c>
      <c r="B10" s="4" t="n">
        <v>32</v>
      </c>
      <c r="C10" s="4" t="n">
        <v>0</v>
      </c>
      <c r="D10" s="5" t="n">
        <v>0.2</v>
      </c>
      <c r="E10" s="4" t="n">
        <v>32</v>
      </c>
      <c r="F10" s="4" t="n">
        <v>0</v>
      </c>
      <c r="G10" s="4" t="n">
        <v>75</v>
      </c>
      <c r="H10" s="40">
        <f>G10*IF(F10=1, 0.85, 0.8)</f>
        <v/>
      </c>
      <c r="I10" s="10" t="inlineStr">
        <is>
          <t>2-4</t>
        </is>
      </c>
      <c r="J10" s="4">
        <f>ROUNDUP(H10/4.8, 0)</f>
        <v/>
      </c>
      <c r="K10" s="40">
        <f>ROUND(TREND(G$3:G$32, E$3:E$32, E10), 1)</f>
        <v/>
      </c>
      <c r="L10" s="40">
        <f>ROUND(TREND(G$3:G$32, B$3:E$32, B10:E10), 1)</f>
        <v/>
      </c>
      <c r="M10" s="40">
        <f>ROUND(TREND(G$3:G$32, B$3:F$32, B10:F10), 1)</f>
        <v/>
      </c>
      <c r="N10" s="4">
        <f>ROUNDUP(L10*IF(F10=1, 0.85, 0.8)/4.8, 0)</f>
        <v/>
      </c>
      <c r="O10" s="4">
        <f>ROUND(N10*70%, 0)</f>
        <v/>
      </c>
      <c r="P10" s="4">
        <f>ROUND(N10*20%, 0)</f>
        <v/>
      </c>
      <c r="Q10" s="4">
        <f>IF(C10&gt;20, "Hủy slot (Mưa &gt; 20mm)", "Kích hoạt")</f>
        <v/>
      </c>
      <c r="R10" s="4">
        <f>IF(C10&gt;20, 0, P10)</f>
        <v/>
      </c>
      <c r="S10" s="41">
        <f>IF(C10&gt;20, P10*0.4*Y10, 0)</f>
        <v/>
      </c>
      <c r="T10" s="4">
        <f>MAX(0, J10 - O10 - R10)</f>
        <v/>
      </c>
      <c r="U10" s="4">
        <f>O10 + R10 + T10</f>
        <v/>
      </c>
      <c r="V10" s="4" t="n">
        <v>15</v>
      </c>
      <c r="W10" s="42" t="n">
        <v>46114</v>
      </c>
      <c r="X10" s="4" t="n">
        <v>14</v>
      </c>
      <c r="Y10" s="43">
        <f>IF(OR(B10&gt;=34, F10=1), 11700000, 9000000)</f>
        <v/>
      </c>
      <c r="Z10" s="44" t="n">
        <v>12</v>
      </c>
      <c r="AA10" s="40">
        <f>AVERAGE(J7:J9)</f>
        <v/>
      </c>
      <c r="AB10" s="40">
        <f>ABS(J10 - AA10)</f>
        <v/>
      </c>
      <c r="AC10" s="4">
        <f>IF(OR(W10="8-10 (Lỗi)", W10="5-8 (Lỗi)"), "Loại", "Hợp lệ")</f>
        <v/>
      </c>
      <c r="AD10" s="43">
        <f>IF(AA10="", 0, IF(AA10&gt;J10, (AA10-J10)*1500000, 0))</f>
        <v/>
      </c>
      <c r="AE10" s="43">
        <f>IF(AA10="", 0, IF(J10&gt;AA10, (J10-AA10)*4500000, 0))</f>
        <v/>
      </c>
      <c r="AF10" s="43">
        <f>AD10 + AE10</f>
        <v/>
      </c>
      <c r="AG10" s="4">
        <f>ABS(J10 - N10)</f>
        <v/>
      </c>
      <c r="AH10" s="43">
        <f>IF(U10&gt;J10, (U10-J10)*1500000, 0)</f>
        <v/>
      </c>
      <c r="AI10" s="43">
        <f>IF(J10&gt;U10, (J10-U10)*4500000, 0)</f>
        <v/>
      </c>
      <c r="AJ10" s="43">
        <f>AH10 + AI10 + S10</f>
        <v/>
      </c>
    </row>
    <row r="11" ht="12.75" customHeight="1" s="38">
      <c r="A11" s="4" t="inlineStr">
        <is>
          <t>Ngày 09</t>
        </is>
      </c>
      <c r="B11" s="4" t="n">
        <v>30</v>
      </c>
      <c r="C11" s="4" t="n">
        <v>15</v>
      </c>
      <c r="D11" s="5" t="n">
        <v>0.28</v>
      </c>
      <c r="E11" s="4" t="n">
        <v>22</v>
      </c>
      <c r="F11" s="4" t="n">
        <v>0</v>
      </c>
      <c r="G11" s="4" t="n">
        <v>70</v>
      </c>
      <c r="H11" s="40">
        <f>G11*IF(F11=1, 0.85, 0.8)</f>
        <v/>
      </c>
      <c r="I11" s="10" t="inlineStr">
        <is>
          <t>2-4</t>
        </is>
      </c>
      <c r="J11" s="4">
        <f>ROUNDUP(H11/4.8, 0)</f>
        <v/>
      </c>
      <c r="K11" s="40">
        <f>ROUND(TREND(G$3:G$32, E$3:E$32, E11), 1)</f>
        <v/>
      </c>
      <c r="L11" s="40">
        <f>ROUND(TREND(G$3:G$32, B$3:E$32, B11:E11), 1)</f>
        <v/>
      </c>
      <c r="M11" s="40">
        <f>ROUND(TREND(G$3:G$32, B$3:F$32, B11:F11), 1)</f>
        <v/>
      </c>
      <c r="N11" s="4">
        <f>ROUNDUP(L11*IF(F11=1, 0.85, 0.8)/4.8, 0)</f>
        <v/>
      </c>
      <c r="O11" s="4">
        <f>ROUND(N11*70%, 0)</f>
        <v/>
      </c>
      <c r="P11" s="4">
        <f>ROUND(N11*20%, 0)</f>
        <v/>
      </c>
      <c r="Q11" s="4">
        <f>IF(C11&gt;20, "Hủy slot (Mưa &gt; 20mm)", "Kích hoạt")</f>
        <v/>
      </c>
      <c r="R11" s="4">
        <f>IF(C11&gt;20, 0, P11)</f>
        <v/>
      </c>
      <c r="S11" s="41">
        <f>IF(C11&gt;20, P11*0.4*Y11, 0)</f>
        <v/>
      </c>
      <c r="T11" s="4">
        <f>MAX(0, J11 - O11 - R11)</f>
        <v/>
      </c>
      <c r="U11" s="4">
        <f>O11 + R11 + T11</f>
        <v/>
      </c>
      <c r="V11" s="4" t="n">
        <v>16</v>
      </c>
      <c r="W11" s="4" t="inlineStr">
        <is>
          <t>8-10 (Lỗi)</t>
        </is>
      </c>
      <c r="X11" s="4" t="n">
        <v>12</v>
      </c>
      <c r="Y11" s="43">
        <f>IF(OR(B11&gt;=34, F11=1), 11700000, 9000000)</f>
        <v/>
      </c>
      <c r="Z11" s="44" t="n">
        <v>15</v>
      </c>
      <c r="AA11" s="40">
        <f>AVERAGE(J8:J10)</f>
        <v/>
      </c>
      <c r="AB11" s="40">
        <f>ABS(J11 - AA11)</f>
        <v/>
      </c>
      <c r="AC11" s="4">
        <f>IF(OR(W11="8-10 (Lỗi)", W11="5-8 (Lỗi)"), "Loại", "Hợp lệ")</f>
        <v/>
      </c>
      <c r="AD11" s="43">
        <f>IF(AA11="", 0, IF(AA11&gt;J11, (AA11-J11)*1500000, 0))</f>
        <v/>
      </c>
      <c r="AE11" s="43">
        <f>IF(AA11="", 0, IF(J11&gt;AA11, (J11-AA11)*4500000, 0))</f>
        <v/>
      </c>
      <c r="AF11" s="43">
        <f>AD11 + AE11</f>
        <v/>
      </c>
      <c r="AG11" s="4">
        <f>ABS(J11 - N11)</f>
        <v/>
      </c>
      <c r="AH11" s="43">
        <f>IF(U11&gt;J11, (U11-J11)*1500000, 0)</f>
        <v/>
      </c>
      <c r="AI11" s="43">
        <f>IF(J11&gt;U11, (J11-U11)*4500000, 0)</f>
        <v/>
      </c>
      <c r="AJ11" s="43">
        <f>AH11 + AI11 + S11</f>
        <v/>
      </c>
    </row>
    <row r="12" ht="12.75" customHeight="1" s="38">
      <c r="A12" s="4" t="inlineStr">
        <is>
          <t>Ngày 10</t>
        </is>
      </c>
      <c r="B12" s="4" t="n">
        <v>32</v>
      </c>
      <c r="C12" s="4" t="n">
        <v>0</v>
      </c>
      <c r="D12" s="5" t="n">
        <v>0.35</v>
      </c>
      <c r="E12" s="4" t="n">
        <v>38</v>
      </c>
      <c r="F12" s="4" t="n">
        <v>0</v>
      </c>
      <c r="G12" s="4" t="n">
        <v>72</v>
      </c>
      <c r="H12" s="40">
        <f>G12*IF(F12=1, 0.85, 0.8)</f>
        <v/>
      </c>
      <c r="I12" s="10" t="inlineStr">
        <is>
          <t>2-4</t>
        </is>
      </c>
      <c r="J12" s="4">
        <f>ROUNDUP(H12/4.8, 0)</f>
        <v/>
      </c>
      <c r="K12" s="40">
        <f>ROUND(TREND(G$3:G$32, E$3:E$32, E12), 1)</f>
        <v/>
      </c>
      <c r="L12" s="40">
        <f>ROUND(TREND(G$3:G$32, B$3:E$32, B12:E12), 1)</f>
        <v/>
      </c>
      <c r="M12" s="40">
        <f>ROUND(TREND(G$3:G$32, B$3:F$32, B12:F12), 1)</f>
        <v/>
      </c>
      <c r="N12" s="4">
        <f>ROUNDUP(L12*IF(F12=1, 0.85, 0.8)/4.8, 0)</f>
        <v/>
      </c>
      <c r="O12" s="4">
        <f>ROUND(N12*70%, 0)</f>
        <v/>
      </c>
      <c r="P12" s="4">
        <f>ROUND(N12*20%, 0)</f>
        <v/>
      </c>
      <c r="Q12" s="4">
        <f>IF(C12&gt;20, "Hủy slot (Mưa &gt; 20mm)", "Kích hoạt")</f>
        <v/>
      </c>
      <c r="R12" s="4">
        <f>IF(C12&gt;20, 0, P12)</f>
        <v/>
      </c>
      <c r="S12" s="41">
        <f>IF(C12&gt;20, P12*0.4*Y12, 0)</f>
        <v/>
      </c>
      <c r="T12" s="4">
        <f>MAX(0, J12 - O12 - R12)</f>
        <v/>
      </c>
      <c r="U12" s="4">
        <f>O12 + R12 + T12</f>
        <v/>
      </c>
      <c r="V12" s="4" t="n">
        <v>14</v>
      </c>
      <c r="W12" s="42" t="n">
        <v>46114</v>
      </c>
      <c r="X12" s="4" t="n">
        <v>16</v>
      </c>
      <c r="Y12" s="43">
        <f>IF(OR(B12&gt;=34, F12=1), 11700000, 9000000)</f>
        <v/>
      </c>
      <c r="Z12" s="44" t="n">
        <v>13</v>
      </c>
      <c r="AA12" s="40">
        <f>AVERAGE(J9:J11)</f>
        <v/>
      </c>
      <c r="AB12" s="40">
        <f>ABS(J12 - AA12)</f>
        <v/>
      </c>
      <c r="AC12" s="4">
        <f>IF(OR(W12="8-10 (Lỗi)", W12="5-8 (Lỗi)"), "Loại", "Hợp lệ")</f>
        <v/>
      </c>
      <c r="AD12" s="43">
        <f>IF(AA12="", 0, IF(AA12&gt;J12, (AA12-J12)*1500000, 0))</f>
        <v/>
      </c>
      <c r="AE12" s="43">
        <f>IF(AA12="", 0, IF(J12&gt;AA12, (J12-AA12)*4500000, 0))</f>
        <v/>
      </c>
      <c r="AF12" s="43">
        <f>AD12 + AE12</f>
        <v/>
      </c>
      <c r="AG12" s="4">
        <f>ABS(J12 - N12)</f>
        <v/>
      </c>
      <c r="AH12" s="43">
        <f>IF(U12&gt;J12, (U12-J12)*1500000, 0)</f>
        <v/>
      </c>
      <c r="AI12" s="43">
        <f>IF(J12&gt;U12, (J12-U12)*4500000, 0)</f>
        <v/>
      </c>
      <c r="AJ12" s="43">
        <f>AH12 + AI12 + S12</f>
        <v/>
      </c>
    </row>
    <row r="13" ht="12.75" customHeight="1" s="38">
      <c r="A13" s="4" t="inlineStr">
        <is>
          <t>Ngày 11</t>
        </is>
      </c>
      <c r="B13" s="4" t="n">
        <v>34</v>
      </c>
      <c r="C13" s="4" t="n">
        <v>0</v>
      </c>
      <c r="D13" s="5" t="n">
        <v>0.45</v>
      </c>
      <c r="E13" s="4" t="n">
        <v>52</v>
      </c>
      <c r="F13" s="4" t="n">
        <v>0</v>
      </c>
      <c r="G13" s="4" t="n">
        <v>20</v>
      </c>
      <c r="H13" s="40">
        <f>G13*IF(F13=1, 0.85, 0.8)</f>
        <v/>
      </c>
      <c r="I13" s="10" t="inlineStr">
        <is>
          <t>2-4</t>
        </is>
      </c>
      <c r="J13" s="4">
        <f>ROUNDUP(H13/4.8, 0)</f>
        <v/>
      </c>
      <c r="K13" s="40">
        <f>ROUND(TREND(G$3:G$32, E$3:E$32, E13), 1)</f>
        <v/>
      </c>
      <c r="L13" s="40">
        <f>ROUND(TREND(G$3:G$32, B$3:E$32, B13:E13), 1)</f>
        <v/>
      </c>
      <c r="M13" s="40">
        <f>ROUND(TREND(G$3:G$32, B$3:F$32, B13:F13), 1)</f>
        <v/>
      </c>
      <c r="N13" s="4">
        <f>ROUNDUP(L13*IF(F13=1, 0.85, 0.8)/4.8, 0)</f>
        <v/>
      </c>
      <c r="O13" s="4">
        <f>ROUND(N13*70%, 0)</f>
        <v/>
      </c>
      <c r="P13" s="4">
        <f>ROUND(N13*20%, 0)</f>
        <v/>
      </c>
      <c r="Q13" s="4">
        <f>IF(C13&gt;20, "Hủy slot (Mưa &gt; 20mm)", "Kích hoạt")</f>
        <v/>
      </c>
      <c r="R13" s="4">
        <f>IF(C13&gt;20, 0, P13)</f>
        <v/>
      </c>
      <c r="S13" s="41">
        <f>IF(C13&gt;20, P13*0.4*Y13, 0)</f>
        <v/>
      </c>
      <c r="T13" s="4">
        <f>MAX(0, J13 - O13 - R13)</f>
        <v/>
      </c>
      <c r="U13" s="4">
        <f>O13 + R13 + T13</f>
        <v/>
      </c>
      <c r="V13" s="4" t="n">
        <v>15</v>
      </c>
      <c r="W13" s="42" t="n">
        <v>46114</v>
      </c>
      <c r="X13" s="4" t="n">
        <v>2</v>
      </c>
      <c r="Y13" s="43">
        <f>IF(OR(B13&gt;=34, F13=1), 11700000, 9000000)</f>
        <v/>
      </c>
      <c r="Z13" s="44" t="n">
        <v>2</v>
      </c>
      <c r="AA13" s="40">
        <f>AVERAGE(J10:J12)</f>
        <v/>
      </c>
      <c r="AB13" s="40">
        <f>ABS(J13 - AA13)</f>
        <v/>
      </c>
      <c r="AC13" s="4">
        <f>IF(OR(W13="8-10 (Lỗi)", W13="5-8 (Lỗi)"), "Loại", "Hợp lệ")</f>
        <v/>
      </c>
      <c r="AD13" s="43">
        <f>IF(AA13="", 0, IF(AA13&gt;J13, (AA13-J13)*1500000, 0))</f>
        <v/>
      </c>
      <c r="AE13" s="43">
        <f>IF(AA13="", 0, IF(J13&gt;AA13, (J13-AA13)*4500000, 0))</f>
        <v/>
      </c>
      <c r="AF13" s="43">
        <f>AD13 + AE13</f>
        <v/>
      </c>
      <c r="AG13" s="4">
        <f>ABS(J13 - N13)</f>
        <v/>
      </c>
      <c r="AH13" s="43">
        <f>IF(U13&gt;J13, (U13-J13)*1500000, 0)</f>
        <v/>
      </c>
      <c r="AI13" s="43">
        <f>IF(J13&gt;U13, (J13-U13)*4500000, 0)</f>
        <v/>
      </c>
      <c r="AJ13" s="43">
        <f>AH13 + AI13 + S13</f>
        <v/>
      </c>
    </row>
    <row r="14" ht="12.75" customHeight="1" s="38">
      <c r="A14" s="4" t="inlineStr">
        <is>
          <t>Ngày 12</t>
        </is>
      </c>
      <c r="B14" s="4" t="n">
        <v>31</v>
      </c>
      <c r="C14" s="4" t="n">
        <v>0</v>
      </c>
      <c r="D14" s="5" t="n">
        <v>0.52</v>
      </c>
      <c r="E14" s="4" t="n">
        <v>45</v>
      </c>
      <c r="F14" s="4" t="n">
        <v>1</v>
      </c>
      <c r="G14" s="4" t="n">
        <v>110</v>
      </c>
      <c r="H14" s="40">
        <f>G14*IF(F14=1, 0.85, 0.8)</f>
        <v/>
      </c>
      <c r="I14" s="10" t="inlineStr">
        <is>
          <t>2-4</t>
        </is>
      </c>
      <c r="J14" s="4">
        <f>ROUNDUP(H14/4.8, 0)</f>
        <v/>
      </c>
      <c r="K14" s="40">
        <f>ROUND(TREND(G$3:G$32, E$3:E$32, E14), 1)</f>
        <v/>
      </c>
      <c r="L14" s="40">
        <f>ROUND(TREND(G$3:G$32, B$3:E$32, B14:E14), 1)</f>
        <v/>
      </c>
      <c r="M14" s="40">
        <f>ROUND(TREND(G$3:G$32, B$3:F$32, B14:F14), 1)</f>
        <v/>
      </c>
      <c r="N14" s="4">
        <f>ROUNDUP(L14*IF(F14=1, 0.85, 0.8)/4.8, 0)</f>
        <v/>
      </c>
      <c r="O14" s="4">
        <f>ROUND(N14*70%, 0)</f>
        <v/>
      </c>
      <c r="P14" s="4">
        <f>ROUND(N14*20%, 0)</f>
        <v/>
      </c>
      <c r="Q14" s="4">
        <f>IF(C14&gt;20, "Hủy slot (Mưa &gt; 20mm)", "Kích hoạt")</f>
        <v/>
      </c>
      <c r="R14" s="4">
        <f>IF(C14&gt;20, 0, P14)</f>
        <v/>
      </c>
      <c r="S14" s="41">
        <f>IF(C14&gt;20, P14*0.4*Y14, 0)</f>
        <v/>
      </c>
      <c r="T14" s="4">
        <f>MAX(0, J14 - O14 - R14)</f>
        <v/>
      </c>
      <c r="U14" s="4">
        <f>O14 + R14 + T14</f>
        <v/>
      </c>
      <c r="V14" s="4" t="n">
        <v>10</v>
      </c>
      <c r="W14" s="42" t="n">
        <v>46114</v>
      </c>
      <c r="X14" s="4" t="n">
        <v>24</v>
      </c>
      <c r="Y14" s="43">
        <f>IF(OR(B14&gt;=34, F14=1), 11700000, 9000000)</f>
        <v/>
      </c>
      <c r="Z14" s="44" t="n">
        <v>20</v>
      </c>
      <c r="AA14" s="40">
        <f>AVERAGE(J11:J13)</f>
        <v/>
      </c>
      <c r="AB14" s="40">
        <f>ABS(J14 - AA14)</f>
        <v/>
      </c>
      <c r="AC14" s="4">
        <f>IF(OR(W14="8-10 (Lỗi)", W14="5-8 (Lỗi)"), "Loại", "Hợp lệ")</f>
        <v/>
      </c>
      <c r="AD14" s="43">
        <f>IF(AA14="", 0, IF(AA14&gt;J14, (AA14-J14)*1500000, 0))</f>
        <v/>
      </c>
      <c r="AE14" s="43">
        <f>IF(AA14="", 0, IF(J14&gt;AA14, (J14-AA14)*4500000, 0))</f>
        <v/>
      </c>
      <c r="AF14" s="43">
        <f>AD14 + AE14</f>
        <v/>
      </c>
      <c r="AG14" s="4">
        <f>ABS(J14 - N14)</f>
        <v/>
      </c>
      <c r="AH14" s="43">
        <f>IF(U14&gt;J14, (U14-J14)*1500000, 0)</f>
        <v/>
      </c>
      <c r="AI14" s="43">
        <f>IF(J14&gt;U14, (J14-U14)*4500000, 0)</f>
        <v/>
      </c>
      <c r="AJ14" s="43">
        <f>AH14 + AI14 + S14</f>
        <v/>
      </c>
    </row>
    <row r="15" ht="12.75" customHeight="1" s="38">
      <c r="A15" s="4" t="inlineStr">
        <is>
          <t>Ngày 13</t>
        </is>
      </c>
      <c r="B15" s="4" t="n">
        <v>36</v>
      </c>
      <c r="C15" s="4" t="n">
        <v>0</v>
      </c>
      <c r="D15" s="5" t="n">
        <v>0.68</v>
      </c>
      <c r="E15" s="4" t="n">
        <v>78</v>
      </c>
      <c r="F15" s="4" t="n">
        <v>1</v>
      </c>
      <c r="G15" s="4" t="n">
        <v>95</v>
      </c>
      <c r="H15" s="40">
        <f>G15*IF(F15=1, 0.85, 0.8)</f>
        <v/>
      </c>
      <c r="I15" s="10" t="inlineStr">
        <is>
          <t>2-4</t>
        </is>
      </c>
      <c r="J15" s="4">
        <f>ROUNDUP(H15/4.8, 0)</f>
        <v/>
      </c>
      <c r="K15" s="40">
        <f>ROUND(TREND(G$3:G$32, E$3:E$32, E15), 1)</f>
        <v/>
      </c>
      <c r="L15" s="40">
        <f>ROUND(TREND(G$3:G$32, B$3:E$32, B15:E15), 1)</f>
        <v/>
      </c>
      <c r="M15" s="40">
        <f>ROUND(TREND(G$3:G$32, B$3:F$32, B15:F15), 1)</f>
        <v/>
      </c>
      <c r="N15" s="4">
        <f>ROUNDUP(L15*IF(F15=1, 0.85, 0.8)/4.8, 0)</f>
        <v/>
      </c>
      <c r="O15" s="4">
        <f>ROUND(N15*70%, 0)</f>
        <v/>
      </c>
      <c r="P15" s="4">
        <f>ROUND(N15*20%, 0)</f>
        <v/>
      </c>
      <c r="Q15" s="4">
        <f>IF(C15&gt;20, "Hủy slot (Mưa &gt; 20mm)", "Kích hoạt")</f>
        <v/>
      </c>
      <c r="R15" s="4">
        <f>IF(C15&gt;20, 0, P15)</f>
        <v/>
      </c>
      <c r="S15" s="41">
        <f>IF(C15&gt;20, P15*0.4*Y15, 0)</f>
        <v/>
      </c>
      <c r="T15" s="4">
        <f>MAX(0, J15 - O15 - R15)</f>
        <v/>
      </c>
      <c r="U15" s="4">
        <f>O15 + R15 + T15</f>
        <v/>
      </c>
      <c r="V15" s="4" t="n">
        <v>9</v>
      </c>
      <c r="W15" s="42" t="n">
        <v>46114</v>
      </c>
      <c r="X15" s="4" t="n">
        <v>22</v>
      </c>
      <c r="Y15" s="43">
        <f>IF(OR(B15&gt;=34, F15=1), 11700000, 9000000)</f>
        <v/>
      </c>
      <c r="Z15" s="44" t="n">
        <v>18</v>
      </c>
      <c r="AA15" s="40">
        <f>AVERAGE(J12:J14)</f>
        <v/>
      </c>
      <c r="AB15" s="40">
        <f>ABS(J15 - AA15)</f>
        <v/>
      </c>
      <c r="AC15" s="4">
        <f>IF(OR(W15="8-10 (Lỗi)", W15="5-8 (Lỗi)"), "Loại", "Hợp lệ")</f>
        <v/>
      </c>
      <c r="AD15" s="43">
        <f>IF(AA15="", 0, IF(AA15&gt;J15, (AA15-J15)*1500000, 0))</f>
        <v/>
      </c>
      <c r="AE15" s="43">
        <f>IF(AA15="", 0, IF(J15&gt;AA15, (J15-AA15)*4500000, 0))</f>
        <v/>
      </c>
      <c r="AF15" s="43">
        <f>AD15 + AE15</f>
        <v/>
      </c>
      <c r="AG15" s="4">
        <f>ABS(J15 - N15)</f>
        <v/>
      </c>
      <c r="AH15" s="43">
        <f>IF(U15&gt;J15, (U15-J15)*1500000, 0)</f>
        <v/>
      </c>
      <c r="AI15" s="43">
        <f>IF(J15&gt;U15, (J15-U15)*4500000, 0)</f>
        <v/>
      </c>
      <c r="AJ15" s="43">
        <f>AH15 + AI15 + S15</f>
        <v/>
      </c>
    </row>
    <row r="16" ht="12.75" customHeight="1" s="38">
      <c r="A16" s="4" t="inlineStr">
        <is>
          <t>Ngày 14</t>
        </is>
      </c>
      <c r="B16" s="4" t="n">
        <v>35</v>
      </c>
      <c r="C16" s="4" t="n">
        <v>0</v>
      </c>
      <c r="D16" s="5" t="n">
        <v>0.78</v>
      </c>
      <c r="E16" s="4" t="n">
        <v>85</v>
      </c>
      <c r="F16" s="4" t="n">
        <v>0</v>
      </c>
      <c r="G16" s="4" t="n">
        <v>85</v>
      </c>
      <c r="H16" s="40">
        <f>G16*IF(F16=1, 0.85, 0.8)</f>
        <v/>
      </c>
      <c r="I16" s="10" t="inlineStr">
        <is>
          <t>2-4</t>
        </is>
      </c>
      <c r="J16" s="4">
        <f>ROUNDUP(H16/4.8, 0)</f>
        <v/>
      </c>
      <c r="K16" s="40">
        <f>ROUND(TREND(G$3:G$32, E$3:E$32, E16), 1)</f>
        <v/>
      </c>
      <c r="L16" s="40">
        <f>ROUND(TREND(G$3:G$32, B$3:E$32, B16:E16), 1)</f>
        <v/>
      </c>
      <c r="M16" s="40">
        <f>ROUND(TREND(G$3:G$32, B$3:F$32, B16:F16), 1)</f>
        <v/>
      </c>
      <c r="N16" s="4">
        <f>ROUNDUP(L16*IF(F16=1, 0.85, 0.8)/4.8, 0)</f>
        <v/>
      </c>
      <c r="O16" s="4">
        <f>ROUND(N16*70%, 0)</f>
        <v/>
      </c>
      <c r="P16" s="4">
        <f>ROUND(N16*20%, 0)</f>
        <v/>
      </c>
      <c r="Q16" s="4">
        <f>IF(C16&gt;20, "Hủy slot (Mưa &gt; 20mm)", "Kích hoạt")</f>
        <v/>
      </c>
      <c r="R16" s="4">
        <f>IF(C16&gt;20, 0, P16)</f>
        <v/>
      </c>
      <c r="S16" s="41">
        <f>IF(C16&gt;20, P16*0.4*Y16, 0)</f>
        <v/>
      </c>
      <c r="T16" s="4">
        <f>MAX(0, J16 - O16 - R16)</f>
        <v/>
      </c>
      <c r="U16" s="4">
        <f>O16 + R16 + T16</f>
        <v/>
      </c>
      <c r="V16" s="4" t="n">
        <v>14</v>
      </c>
      <c r="W16" s="42" t="n">
        <v>46114</v>
      </c>
      <c r="X16" s="4" t="n">
        <v>18</v>
      </c>
      <c r="Y16" s="43">
        <f>IF(OR(B16&gt;=34, F16=1), 11700000, 9000000)</f>
        <v/>
      </c>
      <c r="Z16" s="44" t="n">
        <v>15</v>
      </c>
      <c r="AA16" s="40">
        <f>AVERAGE(J13:J15)</f>
        <v/>
      </c>
      <c r="AB16" s="40">
        <f>ABS(J16 - AA16)</f>
        <v/>
      </c>
      <c r="AC16" s="4">
        <f>IF(OR(W16="8-10 (Lỗi)", W16="5-8 (Lỗi)"), "Loại", "Hợp lệ")</f>
        <v/>
      </c>
      <c r="AD16" s="43">
        <f>IF(AA16="", 0, IF(AA16&gt;J16, (AA16-J16)*1500000, 0))</f>
        <v/>
      </c>
      <c r="AE16" s="43">
        <f>IF(AA16="", 0, IF(J16&gt;AA16, (J16-AA16)*4500000, 0))</f>
        <v/>
      </c>
      <c r="AF16" s="43">
        <f>AD16 + AE16</f>
        <v/>
      </c>
      <c r="AG16" s="4">
        <f>ABS(J16 - N16)</f>
        <v/>
      </c>
      <c r="AH16" s="43">
        <f>IF(U16&gt;J16, (U16-J16)*1500000, 0)</f>
        <v/>
      </c>
      <c r="AI16" s="43">
        <f>IF(J16&gt;U16, (J16-U16)*4500000, 0)</f>
        <v/>
      </c>
      <c r="AJ16" s="43">
        <f>AH16 + AI16 + S16</f>
        <v/>
      </c>
    </row>
    <row r="17" ht="12.75" customHeight="1" s="38">
      <c r="A17" s="4" t="inlineStr">
        <is>
          <t>Ngày 15</t>
        </is>
      </c>
      <c r="B17" s="4" t="n">
        <v>31</v>
      </c>
      <c r="C17" s="4" t="n">
        <v>5</v>
      </c>
      <c r="D17" s="5" t="n">
        <v>0.82</v>
      </c>
      <c r="E17" s="4" t="n">
        <v>65</v>
      </c>
      <c r="F17" s="4" t="n">
        <v>0</v>
      </c>
      <c r="G17" s="4" t="n">
        <v>70</v>
      </c>
      <c r="H17" s="40">
        <f>G17*IF(F17=1, 0.85, 0.8)</f>
        <v/>
      </c>
      <c r="I17" s="10" t="inlineStr">
        <is>
          <t>2-4</t>
        </is>
      </c>
      <c r="J17" s="4">
        <f>ROUNDUP(H17/4.8, 0)</f>
        <v/>
      </c>
      <c r="K17" s="40">
        <f>ROUND(TREND(G$3:G$32, E$3:E$32, E17), 1)</f>
        <v/>
      </c>
      <c r="L17" s="40">
        <f>ROUND(TREND(G$3:G$32, B$3:E$32, B17:E17), 1)</f>
        <v/>
      </c>
      <c r="M17" s="40">
        <f>ROUND(TREND(G$3:G$32, B$3:F$32, B17:F17), 1)</f>
        <v/>
      </c>
      <c r="N17" s="4">
        <f>ROUNDUP(L17*IF(F17=1, 0.85, 0.8)/4.8, 0)</f>
        <v/>
      </c>
      <c r="O17" s="4">
        <f>ROUND(N17*70%, 0)</f>
        <v/>
      </c>
      <c r="P17" s="4">
        <f>ROUND(N17*20%, 0)</f>
        <v/>
      </c>
      <c r="Q17" s="4">
        <f>IF(C17&gt;20, "Hủy slot (Mưa &gt; 20mm)", "Kích hoạt")</f>
        <v/>
      </c>
      <c r="R17" s="4">
        <f>IF(C17&gt;20, 0, P17)</f>
        <v/>
      </c>
      <c r="S17" s="41">
        <f>IF(C17&gt;20, P17*0.4*Y17, 0)</f>
        <v/>
      </c>
      <c r="T17" s="4">
        <f>MAX(0, J17 - O17 - R17)</f>
        <v/>
      </c>
      <c r="U17" s="4">
        <f>O17 + R17 + T17</f>
        <v/>
      </c>
      <c r="V17" s="4" t="n">
        <v>15</v>
      </c>
      <c r="W17" s="42" t="n">
        <v>46114</v>
      </c>
      <c r="X17" s="4" t="n">
        <v>14</v>
      </c>
      <c r="Y17" s="43">
        <f>IF(OR(B17&gt;=34, F17=1), 11700000, 9000000)</f>
        <v/>
      </c>
      <c r="Z17" s="44" t="n">
        <v>12</v>
      </c>
      <c r="AA17" s="40">
        <f>AVERAGE(J14:J16)</f>
        <v/>
      </c>
      <c r="AB17" s="40">
        <f>ABS(J17 - AA17)</f>
        <v/>
      </c>
      <c r="AC17" s="4">
        <f>IF(OR(W17="8-10 (Lỗi)", W17="5-8 (Lỗi)"), "Loại", "Hợp lệ")</f>
        <v/>
      </c>
      <c r="AD17" s="43">
        <f>IF(AA17="", 0, IF(AA17&gt;J17, (AA17-J17)*1500000, 0))</f>
        <v/>
      </c>
      <c r="AE17" s="43">
        <f>IF(AA17="", 0, IF(J17&gt;AA17, (J17-AA17)*4500000, 0))</f>
        <v/>
      </c>
      <c r="AF17" s="43">
        <f>AD17 + AE17</f>
        <v/>
      </c>
      <c r="AG17" s="4">
        <f>ABS(J17 - N17)</f>
        <v/>
      </c>
      <c r="AH17" s="43">
        <f>IF(U17&gt;J17, (U17-J17)*1500000, 0)</f>
        <v/>
      </c>
      <c r="AI17" s="43">
        <f>IF(J17&gt;U17, (J17-U17)*4500000, 0)</f>
        <v/>
      </c>
      <c r="AJ17" s="43">
        <f>AH17 + AI17 + S17</f>
        <v/>
      </c>
    </row>
    <row r="18" ht="12.75" customHeight="1" s="38">
      <c r="A18" s="4" t="inlineStr">
        <is>
          <t>Ngày 16</t>
        </is>
      </c>
      <c r="B18" s="4" t="n">
        <v>30</v>
      </c>
      <c r="C18" s="4" t="n">
        <v>65</v>
      </c>
      <c r="D18" s="5" t="n">
        <v>0.84</v>
      </c>
      <c r="E18" s="4" t="n">
        <v>18</v>
      </c>
      <c r="F18" s="4" t="n">
        <v>0</v>
      </c>
      <c r="G18" s="4" t="n">
        <v>65</v>
      </c>
      <c r="H18" s="40">
        <f>G18*IF(F18=1, 0.85, 0.8)</f>
        <v/>
      </c>
      <c r="I18" s="10" t="inlineStr">
        <is>
          <t>2-4</t>
        </is>
      </c>
      <c r="J18" s="4">
        <f>ROUNDUP(H18/4.8, 0)</f>
        <v/>
      </c>
      <c r="K18" s="40">
        <f>ROUND(TREND(G$3:G$32, E$3:E$32, E18), 1)</f>
        <v/>
      </c>
      <c r="L18" s="40">
        <f>ROUND(TREND(G$3:G$32, B$3:E$32, B18:E18), 1)</f>
        <v/>
      </c>
      <c r="M18" s="40">
        <f>ROUND(TREND(G$3:G$32, B$3:F$32, B18:F18), 1)</f>
        <v/>
      </c>
      <c r="N18" s="4">
        <f>ROUNDUP(L18*IF(F18=1, 0.85, 0.8)/4.8, 0)</f>
        <v/>
      </c>
      <c r="O18" s="4">
        <f>ROUND(N18*70%, 0)</f>
        <v/>
      </c>
      <c r="P18" s="4">
        <f>ROUND(N18*20%, 0)</f>
        <v/>
      </c>
      <c r="Q18" s="4">
        <f>IF(C18&gt;20, "Hủy slot (Mưa &gt; 20mm)", "Kích hoạt")</f>
        <v/>
      </c>
      <c r="R18" s="4">
        <f>IF(C18&gt;20, 0, P18)</f>
        <v/>
      </c>
      <c r="S18" s="41">
        <f>IF(C18&gt;20, P18*0.4*Y18, 0)</f>
        <v/>
      </c>
      <c r="T18" s="4">
        <f>MAX(0, J18 - O18 - R18)</f>
        <v/>
      </c>
      <c r="U18" s="4">
        <f>O18 + R18 + T18</f>
        <v/>
      </c>
      <c r="V18" s="4" t="n">
        <v>16</v>
      </c>
      <c r="W18" s="4" t="inlineStr">
        <is>
          <t>5-8 (Lỗi)</t>
        </is>
      </c>
      <c r="X18" s="4" t="n">
        <v>12</v>
      </c>
      <c r="Y18" s="43">
        <f>IF(OR(B18&gt;=34, F18=1), 11700000, 9000000)</f>
        <v/>
      </c>
      <c r="Z18" s="44" t="n">
        <v>14</v>
      </c>
      <c r="AA18" s="40">
        <f>AVERAGE(J15:J17)</f>
        <v/>
      </c>
      <c r="AB18" s="40">
        <f>ABS(J18 - AA18)</f>
        <v/>
      </c>
      <c r="AC18" s="4">
        <f>IF(OR(W18="8-10 (Lỗi)", W18="5-8 (Lỗi)"), "Loại", "Hợp lệ")</f>
        <v/>
      </c>
      <c r="AD18" s="43">
        <f>IF(AA18="", 0, IF(AA18&gt;J18, (AA18-J18)*1500000, 0))</f>
        <v/>
      </c>
      <c r="AE18" s="43">
        <f>IF(AA18="", 0, IF(J18&gt;AA18, (J18-AA18)*4500000, 0))</f>
        <v/>
      </c>
      <c r="AF18" s="43">
        <f>AD18 + AE18</f>
        <v/>
      </c>
      <c r="AG18" s="4">
        <f>ABS(J18 - N18)</f>
        <v/>
      </c>
      <c r="AH18" s="43">
        <f>IF(U18&gt;J18, (U18-J18)*1500000, 0)</f>
        <v/>
      </c>
      <c r="AI18" s="43">
        <f>IF(J18&gt;U18, (J18-U18)*4500000, 0)</f>
        <v/>
      </c>
      <c r="AJ18" s="43">
        <f>AH18 + AI18 + S18</f>
        <v/>
      </c>
    </row>
    <row r="19" ht="12.75" customHeight="1" s="38">
      <c r="A19" s="4" t="inlineStr">
        <is>
          <t>Ngày 17</t>
        </is>
      </c>
      <c r="B19" s="4" t="n">
        <v>30</v>
      </c>
      <c r="C19" s="4" t="n">
        <v>20</v>
      </c>
      <c r="D19" s="5" t="n">
        <v>0.86</v>
      </c>
      <c r="E19" s="4" t="n">
        <v>25</v>
      </c>
      <c r="F19" s="4" t="n">
        <v>0</v>
      </c>
      <c r="G19" s="4" t="n">
        <v>80</v>
      </c>
      <c r="H19" s="40">
        <f>G19*IF(F19=1, 0.85, 0.8)</f>
        <v/>
      </c>
      <c r="I19" s="10" t="inlineStr">
        <is>
          <t>2-4</t>
        </is>
      </c>
      <c r="J19" s="4">
        <f>ROUNDUP(H19/4.8, 0)</f>
        <v/>
      </c>
      <c r="K19" s="40">
        <f>ROUND(TREND(G$3:G$32, E$3:E$32, E19), 1)</f>
        <v/>
      </c>
      <c r="L19" s="40">
        <f>ROUND(TREND(G$3:G$32, B$3:E$32, B19:E19), 1)</f>
        <v/>
      </c>
      <c r="M19" s="40">
        <f>ROUND(TREND(G$3:G$32, B$3:F$32, B19:F19), 1)</f>
        <v/>
      </c>
      <c r="N19" s="4">
        <f>ROUNDUP(L19*IF(F19=1, 0.85, 0.8)/4.8, 0)</f>
        <v/>
      </c>
      <c r="O19" s="4">
        <f>ROUND(N19*70%, 0)</f>
        <v/>
      </c>
      <c r="P19" s="4">
        <f>ROUND(N19*20%, 0)</f>
        <v/>
      </c>
      <c r="Q19" s="4">
        <f>IF(C19&gt;20, "Hủy slot (Mưa &gt; 20mm)", "Kích hoạt")</f>
        <v/>
      </c>
      <c r="R19" s="4">
        <f>IF(C19&gt;20, 0, P19)</f>
        <v/>
      </c>
      <c r="S19" s="41">
        <f>IF(C19&gt;20, P19*0.4*Y19, 0)</f>
        <v/>
      </c>
      <c r="T19" s="4">
        <f>MAX(0, J19 - O19 - R19)</f>
        <v/>
      </c>
      <c r="U19" s="4">
        <f>O19 + R19 + T19</f>
        <v/>
      </c>
      <c r="V19" s="4" t="n">
        <v>15</v>
      </c>
      <c r="W19" s="42" t="n">
        <v>46114</v>
      </c>
      <c r="X19" s="4" t="n">
        <v>16</v>
      </c>
      <c r="Y19" s="43">
        <f>IF(OR(B19&gt;=34, F19=1), 11700000, 9000000)</f>
        <v/>
      </c>
      <c r="Z19" s="44" t="n">
        <v>15</v>
      </c>
      <c r="AA19" s="40">
        <f>AVERAGE(J16:J18)</f>
        <v/>
      </c>
      <c r="AB19" s="40">
        <f>ABS(J19 - AA19)</f>
        <v/>
      </c>
      <c r="AC19" s="4">
        <f>IF(OR(W19="8-10 (Lỗi)", W19="5-8 (Lỗi)"), "Loại", "Hợp lệ")</f>
        <v/>
      </c>
      <c r="AD19" s="43">
        <f>IF(AA19="", 0, IF(AA19&gt;J19, (AA19-J19)*1500000, 0))</f>
        <v/>
      </c>
      <c r="AE19" s="43">
        <f>IF(AA19="", 0, IF(J19&gt;AA19, (J19-AA19)*4500000, 0))</f>
        <v/>
      </c>
      <c r="AF19" s="43">
        <f>AD19 + AE19</f>
        <v/>
      </c>
      <c r="AG19" s="4">
        <f>ABS(J19 - N19)</f>
        <v/>
      </c>
      <c r="AH19" s="43">
        <f>IF(U19&gt;J19, (U19-J19)*1500000, 0)</f>
        <v/>
      </c>
      <c r="AI19" s="43">
        <f>IF(J19&gt;U19, (J19-U19)*4500000, 0)</f>
        <v/>
      </c>
      <c r="AJ19" s="43">
        <f>AH19 + AI19 + S19</f>
        <v/>
      </c>
    </row>
    <row r="20" ht="12.75" customHeight="1" s="38">
      <c r="A20" s="4" t="inlineStr">
        <is>
          <t>Ngày 18</t>
        </is>
      </c>
      <c r="B20" s="4" t="n">
        <v>32</v>
      </c>
      <c r="C20" s="4" t="n">
        <v>0</v>
      </c>
      <c r="D20" s="5" t="n">
        <v>0.89</v>
      </c>
      <c r="E20" s="4" t="n">
        <v>55</v>
      </c>
      <c r="F20" s="4" t="n">
        <v>0</v>
      </c>
      <c r="G20" s="4" t="n">
        <v>75</v>
      </c>
      <c r="H20" s="40">
        <f>G20*IF(F20=1, 0.85, 0.8)</f>
        <v/>
      </c>
      <c r="I20" s="10" t="inlineStr">
        <is>
          <t>2-4</t>
        </is>
      </c>
      <c r="J20" s="4">
        <f>ROUNDUP(H20/4.8, 0)</f>
        <v/>
      </c>
      <c r="K20" s="40">
        <f>ROUND(TREND(G$3:G$32, E$3:E$32, E20), 1)</f>
        <v/>
      </c>
      <c r="L20" s="40">
        <f>ROUND(TREND(G$3:G$32, B$3:E$32, B20:E20), 1)</f>
        <v/>
      </c>
      <c r="M20" s="40">
        <f>ROUND(TREND(G$3:G$32, B$3:F$32, B20:F20), 1)</f>
        <v/>
      </c>
      <c r="N20" s="4">
        <f>ROUNDUP(L20*IF(F20=1, 0.85, 0.8)/4.8, 0)</f>
        <v/>
      </c>
      <c r="O20" s="4">
        <f>ROUND(N20*70%, 0)</f>
        <v/>
      </c>
      <c r="P20" s="4">
        <f>ROUND(N20*20%, 0)</f>
        <v/>
      </c>
      <c r="Q20" s="4">
        <f>IF(C20&gt;20, "Hủy slot (Mưa &gt; 20mm)", "Kích hoạt")</f>
        <v/>
      </c>
      <c r="R20" s="4">
        <f>IF(C20&gt;20, 0, P20)</f>
        <v/>
      </c>
      <c r="S20" s="41">
        <f>IF(C20&gt;20, P20*0.4*Y20, 0)</f>
        <v/>
      </c>
      <c r="T20" s="4">
        <f>MAX(0, J20 - O20 - R20)</f>
        <v/>
      </c>
      <c r="U20" s="4">
        <f>O20 + R20 + T20</f>
        <v/>
      </c>
      <c r="V20" s="4" t="n">
        <v>15</v>
      </c>
      <c r="W20" s="42" t="n">
        <v>46114</v>
      </c>
      <c r="X20" s="4" t="n">
        <v>14</v>
      </c>
      <c r="Y20" s="43">
        <f>IF(OR(B20&gt;=34, F20=1), 11700000, 9000000)</f>
        <v/>
      </c>
      <c r="Z20" s="44" t="n">
        <v>12</v>
      </c>
      <c r="AA20" s="40">
        <f>AVERAGE(J17:J19)</f>
        <v/>
      </c>
      <c r="AB20" s="40">
        <f>ABS(J20 - AA20)</f>
        <v/>
      </c>
      <c r="AC20" s="4">
        <f>IF(OR(W20="8-10 (Lỗi)", W20="5-8 (Lỗi)"), "Loại", "Hợp lệ")</f>
        <v/>
      </c>
      <c r="AD20" s="43">
        <f>IF(AA20="", 0, IF(AA20&gt;J20, (AA20-J20)*1500000, 0))</f>
        <v/>
      </c>
      <c r="AE20" s="43">
        <f>IF(AA20="", 0, IF(J20&gt;AA20, (J20-AA20)*4500000, 0))</f>
        <v/>
      </c>
      <c r="AF20" s="43">
        <f>AD20 + AE20</f>
        <v/>
      </c>
      <c r="AG20" s="4">
        <f>ABS(J20 - N20)</f>
        <v/>
      </c>
      <c r="AH20" s="43">
        <f>IF(U20&gt;J20, (U20-J20)*1500000, 0)</f>
        <v/>
      </c>
      <c r="AI20" s="43">
        <f>IF(J20&gt;U20, (J20-U20)*4500000, 0)</f>
        <v/>
      </c>
      <c r="AJ20" s="43">
        <f>AH20 + AI20 + S20</f>
        <v/>
      </c>
    </row>
    <row r="21" ht="12.75" customHeight="1" s="38">
      <c r="A21" s="4" t="inlineStr">
        <is>
          <t>Ngày 19</t>
        </is>
      </c>
      <c r="B21" s="4" t="n">
        <v>31</v>
      </c>
      <c r="C21" s="4" t="n">
        <v>0</v>
      </c>
      <c r="D21" s="5" t="n">
        <v>0.91</v>
      </c>
      <c r="E21" s="4" t="n">
        <v>68</v>
      </c>
      <c r="F21" s="4" t="n">
        <v>1</v>
      </c>
      <c r="G21" s="4" t="n">
        <v>85</v>
      </c>
      <c r="H21" s="40">
        <f>G21*IF(F21=1, 0.85, 0.8)</f>
        <v/>
      </c>
      <c r="I21" s="10" t="inlineStr">
        <is>
          <t>2-4</t>
        </is>
      </c>
      <c r="J21" s="4">
        <f>ROUNDUP(H21/4.8, 0)</f>
        <v/>
      </c>
      <c r="K21" s="40">
        <f>ROUND(TREND(G$3:G$32, E$3:E$32, E21), 1)</f>
        <v/>
      </c>
      <c r="L21" s="40">
        <f>ROUND(TREND(G$3:G$32, B$3:E$32, B21:E21), 1)</f>
        <v/>
      </c>
      <c r="M21" s="40">
        <f>ROUND(TREND(G$3:G$32, B$3:F$32, B21:F21), 1)</f>
        <v/>
      </c>
      <c r="N21" s="4">
        <f>ROUNDUP(L21*IF(F21=1, 0.85, 0.8)/4.8, 0)</f>
        <v/>
      </c>
      <c r="O21" s="4">
        <f>ROUND(N21*70%, 0)</f>
        <v/>
      </c>
      <c r="P21" s="4">
        <f>ROUND(N21*20%, 0)</f>
        <v/>
      </c>
      <c r="Q21" s="4">
        <f>IF(C21&gt;20, "Hủy slot (Mưa &gt; 20mm)", "Kích hoạt")</f>
        <v/>
      </c>
      <c r="R21" s="4">
        <f>IF(C21&gt;20, 0, P21)</f>
        <v/>
      </c>
      <c r="S21" s="41">
        <f>IF(C21&gt;20, P21*0.4*Y21, 0)</f>
        <v/>
      </c>
      <c r="T21" s="4">
        <f>MAX(0, J21 - O21 - R21)</f>
        <v/>
      </c>
      <c r="U21" s="4">
        <f>O21 + R21 + T21</f>
        <v/>
      </c>
      <c r="V21" s="4" t="n">
        <v>10</v>
      </c>
      <c r="W21" s="42" t="n">
        <v>46114</v>
      </c>
      <c r="X21" s="4" t="n">
        <v>20</v>
      </c>
      <c r="Y21" s="43">
        <f>IF(OR(B21&gt;=34, F21=1), 11700000, 9000000)</f>
        <v/>
      </c>
      <c r="Z21" s="44" t="n">
        <v>16</v>
      </c>
      <c r="AA21" s="40">
        <f>AVERAGE(J18:J20)</f>
        <v/>
      </c>
      <c r="AB21" s="40">
        <f>ABS(J21 - AA21)</f>
        <v/>
      </c>
      <c r="AC21" s="4">
        <f>IF(OR(W21="8-10 (Lỗi)", W21="5-8 (Lỗi)"), "Loại", "Hợp lệ")</f>
        <v/>
      </c>
      <c r="AD21" s="43">
        <f>IF(AA21="", 0, IF(AA21&gt;J21, (AA21-J21)*1500000, 0))</f>
        <v/>
      </c>
      <c r="AE21" s="43">
        <f>IF(AA21="", 0, IF(J21&gt;AA21, (J21-AA21)*4500000, 0))</f>
        <v/>
      </c>
      <c r="AF21" s="43">
        <f>AD21 + AE21</f>
        <v/>
      </c>
      <c r="AG21" s="4">
        <f>ABS(J21 - N21)</f>
        <v/>
      </c>
      <c r="AH21" s="43">
        <f>IF(U21&gt;J21, (U21-J21)*1500000, 0)</f>
        <v/>
      </c>
      <c r="AI21" s="43">
        <f>IF(J21&gt;U21, (J21-U21)*4500000, 0)</f>
        <v/>
      </c>
      <c r="AJ21" s="43">
        <f>AH21 + AI21 + S21</f>
        <v/>
      </c>
    </row>
    <row r="22" ht="12.75" customHeight="1" s="38">
      <c r="A22" s="4" t="inlineStr">
        <is>
          <t>Ngày 20</t>
        </is>
      </c>
      <c r="B22" s="4" t="n">
        <v>33</v>
      </c>
      <c r="C22" s="4" t="n">
        <v>0</v>
      </c>
      <c r="D22" s="5" t="n">
        <v>0.93</v>
      </c>
      <c r="E22" s="4" t="n">
        <v>75</v>
      </c>
      <c r="F22" s="4" t="n">
        <v>1</v>
      </c>
      <c r="G22" s="4" t="n">
        <v>60</v>
      </c>
      <c r="H22" s="40">
        <f>G22*IF(F22=1, 0.85, 0.8)</f>
        <v/>
      </c>
      <c r="I22" s="10" t="inlineStr">
        <is>
          <t>2-4</t>
        </is>
      </c>
      <c r="J22" s="4">
        <f>ROUNDUP(H22/4.8, 0)</f>
        <v/>
      </c>
      <c r="K22" s="40">
        <f>ROUND(TREND(G$3:G$32, E$3:E$32, E22), 1)</f>
        <v/>
      </c>
      <c r="L22" s="40">
        <f>ROUND(TREND(G$3:G$32, B$3:E$32, B22:E22), 1)</f>
        <v/>
      </c>
      <c r="M22" s="40">
        <f>ROUND(TREND(G$3:G$32, B$3:F$32, B22:F22), 1)</f>
        <v/>
      </c>
      <c r="N22" s="4">
        <f>ROUNDUP(L22*IF(F22=1, 0.85, 0.8)/4.8, 0)</f>
        <v/>
      </c>
      <c r="O22" s="4">
        <f>ROUND(N22*70%, 0)</f>
        <v/>
      </c>
      <c r="P22" s="4">
        <f>ROUND(N22*20%, 0)</f>
        <v/>
      </c>
      <c r="Q22" s="4">
        <f>IF(C22&gt;20, "Hủy slot (Mưa &gt; 20mm)", "Kích hoạt")</f>
        <v/>
      </c>
      <c r="R22" s="4">
        <f>IF(C22&gt;20, 0, P22)</f>
        <v/>
      </c>
      <c r="S22" s="41">
        <f>IF(C22&gt;20, P22*0.4*Y22, 0)</f>
        <v/>
      </c>
      <c r="T22" s="4">
        <f>MAX(0, J22 - O22 - R22)</f>
        <v/>
      </c>
      <c r="U22" s="4">
        <f>O22 + R22 + T22</f>
        <v/>
      </c>
      <c r="V22" s="4" t="n">
        <v>11</v>
      </c>
      <c r="W22" s="42" t="n">
        <v>46114</v>
      </c>
      <c r="X22" s="4" t="n">
        <v>8</v>
      </c>
      <c r="Y22" s="43">
        <f>IF(OR(B22&gt;=34, F22=1), 11700000, 9000000)</f>
        <v/>
      </c>
      <c r="Z22" s="44" t="n">
        <v>8</v>
      </c>
      <c r="AA22" s="40">
        <f>AVERAGE(J19:J21)</f>
        <v/>
      </c>
      <c r="AB22" s="40">
        <f>ABS(J22 - AA22)</f>
        <v/>
      </c>
      <c r="AC22" s="4">
        <f>IF(OR(W22="8-10 (Lỗi)", W22="5-8 (Lỗi)"), "Loại", "Hợp lệ")</f>
        <v/>
      </c>
      <c r="AD22" s="43">
        <f>IF(AA22="", 0, IF(AA22&gt;J22, (AA22-J22)*1500000, 0))</f>
        <v/>
      </c>
      <c r="AE22" s="43">
        <f>IF(AA22="", 0, IF(J22&gt;AA22, (J22-AA22)*4500000, 0))</f>
        <v/>
      </c>
      <c r="AF22" s="43">
        <f>AD22 + AE22</f>
        <v/>
      </c>
      <c r="AG22" s="4">
        <f>ABS(J22 - N22)</f>
        <v/>
      </c>
      <c r="AH22" s="43">
        <f>IF(U22&gt;J22, (U22-J22)*1500000, 0)</f>
        <v/>
      </c>
      <c r="AI22" s="43">
        <f>IF(J22&gt;U22, (J22-U22)*4500000, 0)</f>
        <v/>
      </c>
      <c r="AJ22" s="43">
        <f>AH22 + AI22 + S22</f>
        <v/>
      </c>
    </row>
    <row r="23" ht="12.75" customHeight="1" s="38">
      <c r="A23" s="4" t="inlineStr">
        <is>
          <t>Ngày 21</t>
        </is>
      </c>
      <c r="B23" s="4" t="n">
        <v>34</v>
      </c>
      <c r="C23" s="4" t="n">
        <v>0</v>
      </c>
      <c r="D23" s="5" t="n">
        <v>0.95</v>
      </c>
      <c r="E23" s="4" t="n">
        <v>80</v>
      </c>
      <c r="F23" s="4" t="n">
        <v>0</v>
      </c>
      <c r="G23" s="4" t="n">
        <v>70</v>
      </c>
      <c r="H23" s="40">
        <f>G23*IF(F23=1, 0.85, 0.8)</f>
        <v/>
      </c>
      <c r="I23" s="10" t="inlineStr">
        <is>
          <t>2-4</t>
        </is>
      </c>
      <c r="J23" s="4">
        <f>ROUNDUP(H23/4.8, 0)</f>
        <v/>
      </c>
      <c r="K23" s="40">
        <f>ROUND(TREND(G$3:G$32, E$3:E$32, E23), 1)</f>
        <v/>
      </c>
      <c r="L23" s="40">
        <f>ROUND(TREND(G$3:G$32, B$3:E$32, B23:E23), 1)</f>
        <v/>
      </c>
      <c r="M23" s="40">
        <f>ROUND(TREND(G$3:G$32, B$3:F$32, B23:F23), 1)</f>
        <v/>
      </c>
      <c r="N23" s="4">
        <f>ROUNDUP(L23*IF(F23=1, 0.85, 0.8)/4.8, 0)</f>
        <v/>
      </c>
      <c r="O23" s="4">
        <f>ROUND(N23*70%, 0)</f>
        <v/>
      </c>
      <c r="P23" s="4">
        <f>ROUND(N23*20%, 0)</f>
        <v/>
      </c>
      <c r="Q23" s="4">
        <f>IF(C23&gt;20, "Hủy slot (Mưa &gt; 20mm)", "Kích hoạt")</f>
        <v/>
      </c>
      <c r="R23" s="4">
        <f>IF(C23&gt;20, 0, P23)</f>
        <v/>
      </c>
      <c r="S23" s="41">
        <f>IF(C23&gt;20, P23*0.4*Y23, 0)</f>
        <v/>
      </c>
      <c r="T23" s="4">
        <f>MAX(0, J23 - O23 - R23)</f>
        <v/>
      </c>
      <c r="U23" s="4">
        <f>O23 + R23 + T23</f>
        <v/>
      </c>
      <c r="V23" s="4" t="n">
        <v>16</v>
      </c>
      <c r="W23" s="42" t="n">
        <v>46114</v>
      </c>
      <c r="X23" s="4" t="n">
        <v>10</v>
      </c>
      <c r="Y23" s="43">
        <f>IF(OR(B23&gt;=34, F23=1), 11700000, 9000000)</f>
        <v/>
      </c>
      <c r="Z23" s="44" t="n">
        <v>10</v>
      </c>
      <c r="AA23" s="40">
        <f>AVERAGE(J20:J22)</f>
        <v/>
      </c>
      <c r="AB23" s="40">
        <f>ABS(J23 - AA23)</f>
        <v/>
      </c>
      <c r="AC23" s="4">
        <f>IF(OR(W23="8-10 (Lỗi)", W23="5-8 (Lỗi)"), "Loại", "Hợp lệ")</f>
        <v/>
      </c>
      <c r="AD23" s="43">
        <f>IF(AA23="", 0, IF(AA23&gt;J23, (AA23-J23)*1500000, 0))</f>
        <v/>
      </c>
      <c r="AE23" s="43">
        <f>IF(AA23="", 0, IF(J23&gt;AA23, (J23-AA23)*4500000, 0))</f>
        <v/>
      </c>
      <c r="AF23" s="43">
        <f>AD23 + AE23</f>
        <v/>
      </c>
      <c r="AG23" s="4">
        <f>ABS(J23 - N23)</f>
        <v/>
      </c>
      <c r="AH23" s="43">
        <f>IF(U23&gt;J23, (U23-J23)*1500000, 0)</f>
        <v/>
      </c>
      <c r="AI23" s="43">
        <f>IF(J23&gt;U23, (J23-U23)*4500000, 0)</f>
        <v/>
      </c>
      <c r="AJ23" s="43">
        <f>AH23 + AI23 + S23</f>
        <v/>
      </c>
    </row>
    <row r="24" ht="12.75" customHeight="1" s="38">
      <c r="A24" s="4" t="inlineStr">
        <is>
          <t>Ngày 22</t>
        </is>
      </c>
      <c r="B24" s="4" t="n">
        <v>35</v>
      </c>
      <c r="C24" s="4" t="n">
        <v>0</v>
      </c>
      <c r="D24" s="5" t="n">
        <v>0.97</v>
      </c>
      <c r="E24" s="4" t="n">
        <v>90</v>
      </c>
      <c r="F24" s="4" t="n">
        <v>0</v>
      </c>
      <c r="G24" s="4" t="n">
        <v>80</v>
      </c>
      <c r="H24" s="40">
        <f>G24*IF(F24=1, 0.85, 0.8)</f>
        <v/>
      </c>
      <c r="I24" s="10" t="inlineStr">
        <is>
          <t>2-4</t>
        </is>
      </c>
      <c r="J24" s="4">
        <f>ROUNDUP(H24/4.8, 0)</f>
        <v/>
      </c>
      <c r="K24" s="40">
        <f>ROUND(TREND(G$3:G$32, E$3:E$32, E24), 1)</f>
        <v/>
      </c>
      <c r="L24" s="40">
        <f>ROUND(TREND(G$3:G$32, B$3:E$32, B24:E24), 1)</f>
        <v/>
      </c>
      <c r="M24" s="40">
        <f>ROUND(TREND(G$3:G$32, B$3:F$32, B24:F24), 1)</f>
        <v/>
      </c>
      <c r="N24" s="4">
        <f>ROUNDUP(L24*IF(F24=1, 0.85, 0.8)/4.8, 0)</f>
        <v/>
      </c>
      <c r="O24" s="4">
        <f>ROUND(N24*70%, 0)</f>
        <v/>
      </c>
      <c r="P24" s="4">
        <f>ROUND(N24*20%, 0)</f>
        <v/>
      </c>
      <c r="Q24" s="4">
        <f>IF(C24&gt;20, "Hủy slot (Mưa &gt; 20mm)", "Kích hoạt")</f>
        <v/>
      </c>
      <c r="R24" s="4">
        <f>IF(C24&gt;20, 0, P24)</f>
        <v/>
      </c>
      <c r="S24" s="41">
        <f>IF(C24&gt;20, P24*0.4*Y24, 0)</f>
        <v/>
      </c>
      <c r="T24" s="4">
        <f>MAX(0, J24 - O24 - R24)</f>
        <v/>
      </c>
      <c r="U24" s="4">
        <f>O24 + R24 + T24</f>
        <v/>
      </c>
      <c r="V24" s="4" t="n">
        <v>15</v>
      </c>
      <c r="W24" s="42" t="n">
        <v>46114</v>
      </c>
      <c r="X24" s="4" t="n">
        <v>14</v>
      </c>
      <c r="Y24" s="43">
        <f>IF(OR(B24&gt;=34, F24=1), 11700000, 9000000)</f>
        <v/>
      </c>
      <c r="Z24" s="44" t="n">
        <v>14</v>
      </c>
      <c r="AA24" s="40">
        <f>AVERAGE(J21:J23)</f>
        <v/>
      </c>
      <c r="AB24" s="40">
        <f>ABS(J24 - AA24)</f>
        <v/>
      </c>
      <c r="AC24" s="4">
        <f>IF(OR(W24="8-10 (Lỗi)", W24="5-8 (Lỗi)"), "Loại", "Hợp lệ")</f>
        <v/>
      </c>
      <c r="AD24" s="43">
        <f>IF(AA24="", 0, IF(AA24&gt;J24, (AA24-J24)*1500000, 0))</f>
        <v/>
      </c>
      <c r="AE24" s="43">
        <f>IF(AA24="", 0, IF(J24&gt;AA24, (J24-AA24)*4500000, 0))</f>
        <v/>
      </c>
      <c r="AF24" s="43">
        <f>AD24 + AE24</f>
        <v/>
      </c>
      <c r="AG24" s="4">
        <f>ABS(J24 - N24)</f>
        <v/>
      </c>
      <c r="AH24" s="43">
        <f>IF(U24&gt;J24, (U24-J24)*1500000, 0)</f>
        <v/>
      </c>
      <c r="AI24" s="43">
        <f>IF(J24&gt;U24, (J24-U24)*4500000, 0)</f>
        <v/>
      </c>
      <c r="AJ24" s="43">
        <f>AH24 + AI24 + S24</f>
        <v/>
      </c>
    </row>
    <row r="25" ht="12.75" customHeight="1" s="38">
      <c r="A25" s="4" t="inlineStr">
        <is>
          <t>Ngày 23</t>
        </is>
      </c>
      <c r="B25" s="4" t="n">
        <v>38</v>
      </c>
      <c r="C25" s="4" t="n">
        <v>0</v>
      </c>
      <c r="D25" s="5" t="n">
        <v>0.99</v>
      </c>
      <c r="E25" s="4" t="n">
        <v>110</v>
      </c>
      <c r="F25" s="4" t="n">
        <v>0</v>
      </c>
      <c r="G25" s="4" t="n">
        <v>65</v>
      </c>
      <c r="H25" s="40">
        <f>G25*IF(F25=1, 0.85, 0.8)</f>
        <v/>
      </c>
      <c r="I25" s="10" t="inlineStr">
        <is>
          <t>2-4</t>
        </is>
      </c>
      <c r="J25" s="4">
        <f>ROUNDUP(H25/4.8, 0)</f>
        <v/>
      </c>
      <c r="K25" s="40">
        <f>ROUND(TREND(G$3:G$32, E$3:E$32, E25), 1)</f>
        <v/>
      </c>
      <c r="L25" s="40">
        <f>ROUND(TREND(G$3:G$32, B$3:E$32, B25:E25), 1)</f>
        <v/>
      </c>
      <c r="M25" s="40">
        <f>ROUND(TREND(G$3:G$32, B$3:F$32, B25:F25), 1)</f>
        <v/>
      </c>
      <c r="N25" s="4">
        <f>ROUNDUP(L25*IF(F25=1, 0.85, 0.8)/4.8, 0)</f>
        <v/>
      </c>
      <c r="O25" s="4">
        <f>ROUND(N25*70%, 0)</f>
        <v/>
      </c>
      <c r="P25" s="4">
        <f>ROUND(N25*20%, 0)</f>
        <v/>
      </c>
      <c r="Q25" s="4">
        <f>IF(C25&gt;20, "Hủy slot (Mưa &gt; 20mm)", "Kích hoạt")</f>
        <v/>
      </c>
      <c r="R25" s="4">
        <f>IF(C25&gt;20, 0, P25)</f>
        <v/>
      </c>
      <c r="S25" s="41">
        <f>IF(C25&gt;20, P25*0.4*Y25, 0)</f>
        <v/>
      </c>
      <c r="T25" s="4">
        <f>MAX(0, J25 - O25 - R25)</f>
        <v/>
      </c>
      <c r="U25" s="4">
        <f>O25 + R25 + T25</f>
        <v/>
      </c>
      <c r="V25" s="4" t="n">
        <v>16</v>
      </c>
      <c r="W25" s="42" t="n">
        <v>46114</v>
      </c>
      <c r="X25" s="4" t="n">
        <v>8</v>
      </c>
      <c r="Y25" s="43">
        <f>IF(OR(B25&gt;=34, F25=1), 11700000, 9000000)</f>
        <v/>
      </c>
      <c r="Z25" s="44" t="n">
        <v>8</v>
      </c>
      <c r="AA25" s="40">
        <f>AVERAGE(J22:J24)</f>
        <v/>
      </c>
      <c r="AB25" s="40">
        <f>ABS(J25 - AA25)</f>
        <v/>
      </c>
      <c r="AC25" s="4">
        <f>IF(OR(W25="8-10 (Lỗi)", W25="5-8 (Lỗi)"), "Loại", "Hợp lệ")</f>
        <v/>
      </c>
      <c r="AD25" s="43">
        <f>IF(AA25="", 0, IF(AA25&gt;J25, (AA25-J25)*1500000, 0))</f>
        <v/>
      </c>
      <c r="AE25" s="43">
        <f>IF(AA25="", 0, IF(J25&gt;AA25, (J25-AA25)*4500000, 0))</f>
        <v/>
      </c>
      <c r="AF25" s="43">
        <f>AD25 + AE25</f>
        <v/>
      </c>
      <c r="AG25" s="4">
        <f>ABS(J25 - N25)</f>
        <v/>
      </c>
      <c r="AH25" s="43">
        <f>IF(U25&gt;J25, (U25-J25)*1500000, 0)</f>
        <v/>
      </c>
      <c r="AI25" s="43">
        <f>IF(J25&gt;U25, (J25-U25)*4500000, 0)</f>
        <v/>
      </c>
      <c r="AJ25" s="43">
        <f>AH25 + AI25 + S25</f>
        <v/>
      </c>
    </row>
    <row r="26" ht="12.75" customHeight="1" s="38">
      <c r="A26" s="4" t="inlineStr">
        <is>
          <t>Ngày 24</t>
        </is>
      </c>
      <c r="B26" s="4" t="n">
        <v>35</v>
      </c>
      <c r="C26" s="4" t="n">
        <v>0</v>
      </c>
      <c r="D26" s="5" t="n">
        <v>1</v>
      </c>
      <c r="E26" s="4" t="n">
        <v>88</v>
      </c>
      <c r="F26" s="4" t="n">
        <v>0</v>
      </c>
      <c r="G26" s="4" t="n">
        <v>50</v>
      </c>
      <c r="H26" s="40">
        <f>G26*IF(F26=1, 0.85, 0.8)</f>
        <v/>
      </c>
      <c r="I26" s="10" t="inlineStr">
        <is>
          <t>2-4</t>
        </is>
      </c>
      <c r="J26" s="4">
        <f>ROUNDUP(H26/4.8, 0)</f>
        <v/>
      </c>
      <c r="K26" s="40">
        <f>ROUND(TREND(G$3:G$32, E$3:E$32, E26), 1)</f>
        <v/>
      </c>
      <c r="L26" s="40">
        <f>ROUND(TREND(G$3:G$32, B$3:E$32, B26:E26), 1)</f>
        <v/>
      </c>
      <c r="M26" s="40">
        <f>ROUND(TREND(G$3:G$32, B$3:F$32, B26:F26), 1)</f>
        <v/>
      </c>
      <c r="N26" s="4">
        <f>ROUNDUP(L26*IF(F26=1, 0.85, 0.8)/4.8, 0)</f>
        <v/>
      </c>
      <c r="O26" s="4">
        <f>ROUND(N26*70%, 0)</f>
        <v/>
      </c>
      <c r="P26" s="4">
        <f>ROUND(N26*20%, 0)</f>
        <v/>
      </c>
      <c r="Q26" s="4">
        <f>IF(C26&gt;20, "Hủy slot (Mưa &gt; 20mm)", "Kích hoạt")</f>
        <v/>
      </c>
      <c r="R26" s="4">
        <f>IF(C26&gt;20, 0, P26)</f>
        <v/>
      </c>
      <c r="S26" s="41">
        <f>IF(C26&gt;20, P26*0.4*Y26, 0)</f>
        <v/>
      </c>
      <c r="T26" s="4">
        <f>MAX(0, J26 - O26 - R26)</f>
        <v/>
      </c>
      <c r="U26" s="4">
        <f>O26 + R26 + T26</f>
        <v/>
      </c>
      <c r="V26" s="4" t="n">
        <v>15</v>
      </c>
      <c r="W26" s="42" t="n">
        <v>46114</v>
      </c>
      <c r="X26" s="4" t="n">
        <v>4</v>
      </c>
      <c r="Y26" s="43">
        <f>IF(OR(B26&gt;=34, F26=1), 11700000, 9000000)</f>
        <v/>
      </c>
      <c r="Z26" s="44" t="n">
        <v>5</v>
      </c>
      <c r="AA26" s="40">
        <f>AVERAGE(J23:J25)</f>
        <v/>
      </c>
      <c r="AB26" s="40">
        <f>ABS(J26 - AA26)</f>
        <v/>
      </c>
      <c r="AC26" s="4">
        <f>IF(OR(W26="8-10 (Lỗi)", W26="5-8 (Lỗi)"), "Loại", "Hợp lệ")</f>
        <v/>
      </c>
      <c r="AD26" s="43">
        <f>IF(AA26="", 0, IF(AA26&gt;J26, (AA26-J26)*1500000, 0))</f>
        <v/>
      </c>
      <c r="AE26" s="43">
        <f>IF(AA26="", 0, IF(J26&gt;AA26, (J26-AA26)*4500000, 0))</f>
        <v/>
      </c>
      <c r="AF26" s="43">
        <f>AD26 + AE26</f>
        <v/>
      </c>
      <c r="AG26" s="4">
        <f>ABS(J26 - N26)</f>
        <v/>
      </c>
      <c r="AH26" s="43">
        <f>IF(U26&gt;J26, (U26-J26)*1500000, 0)</f>
        <v/>
      </c>
      <c r="AI26" s="43">
        <f>IF(J26&gt;U26, (J26-U26)*4500000, 0)</f>
        <v/>
      </c>
      <c r="AJ26" s="43">
        <f>AH26 + AI26 + S26</f>
        <v/>
      </c>
    </row>
    <row r="27" ht="12.75" customHeight="1" s="38">
      <c r="A27" s="4" t="inlineStr">
        <is>
          <t>Ngày 25</t>
        </is>
      </c>
      <c r="B27" s="4" t="n">
        <v>30</v>
      </c>
      <c r="C27" s="4" t="n">
        <v>75</v>
      </c>
      <c r="D27" s="5" t="n">
        <v>1</v>
      </c>
      <c r="E27" s="4" t="n">
        <v>15</v>
      </c>
      <c r="F27" s="4" t="n">
        <v>0</v>
      </c>
      <c r="G27" s="4" t="n">
        <v>15</v>
      </c>
      <c r="H27" s="40">
        <f>G27*IF(F27=1, 0.85, 0.8)</f>
        <v/>
      </c>
      <c r="I27" s="10" t="inlineStr">
        <is>
          <t>2-4</t>
        </is>
      </c>
      <c r="J27" s="4">
        <f>ROUNDUP(H27/4.8, 0)</f>
        <v/>
      </c>
      <c r="K27" s="40">
        <f>ROUND(TREND(G$3:G$32, E$3:E$32, E27), 1)</f>
        <v/>
      </c>
      <c r="L27" s="40">
        <f>ROUND(TREND(G$3:G$32, B$3:E$32, B27:E27), 1)</f>
        <v/>
      </c>
      <c r="M27" s="40">
        <f>ROUND(TREND(G$3:G$32, B$3:F$32, B27:F27), 1)</f>
        <v/>
      </c>
      <c r="N27" s="4">
        <f>ROUNDUP(L27*IF(F27=1, 0.85, 0.8)/4.8, 0)</f>
        <v/>
      </c>
      <c r="O27" s="4">
        <f>ROUND(N27*70%, 0)</f>
        <v/>
      </c>
      <c r="P27" s="4">
        <f>ROUND(N27*20%, 0)</f>
        <v/>
      </c>
      <c r="Q27" s="4">
        <f>IF(C27&gt;20, "Hủy slot (Mưa &gt; 20mm)", "Kích hoạt")</f>
        <v/>
      </c>
      <c r="R27" s="4">
        <f>IF(C27&gt;20, 0, P27)</f>
        <v/>
      </c>
      <c r="S27" s="41">
        <f>IF(C27&gt;20, P27*0.4*Y27, 0)</f>
        <v/>
      </c>
      <c r="T27" s="4">
        <f>MAX(0, J27 - O27 - R27)</f>
        <v/>
      </c>
      <c r="U27" s="4">
        <f>O27 + R27 + T27</f>
        <v/>
      </c>
      <c r="V27" s="4" t="n">
        <v>16</v>
      </c>
      <c r="W27" s="42" t="n">
        <v>46114</v>
      </c>
      <c r="X27" s="4" t="n">
        <v>1</v>
      </c>
      <c r="Y27" s="43">
        <f>IF(OR(B27&gt;=34, F27=1), 11700000, 9000000)</f>
        <v/>
      </c>
      <c r="Z27" s="44" t="n">
        <v>1</v>
      </c>
      <c r="AA27" s="40">
        <f>AVERAGE(J24:J26)</f>
        <v/>
      </c>
      <c r="AB27" s="40">
        <f>ABS(J27 - AA27)</f>
        <v/>
      </c>
      <c r="AC27" s="4">
        <f>IF(OR(W27="8-10 (Lỗi)", W27="5-8 (Lỗi)"), "Loại", "Hợp lệ")</f>
        <v/>
      </c>
      <c r="AD27" s="43">
        <f>IF(AA27="", 0, IF(AA27&gt;J27, (AA27-J27)*1500000, 0))</f>
        <v/>
      </c>
      <c r="AE27" s="43">
        <f>IF(AA27="", 0, IF(J27&gt;AA27, (J27-AA27)*4500000, 0))</f>
        <v/>
      </c>
      <c r="AF27" s="43">
        <f>AD27 + AE27</f>
        <v/>
      </c>
      <c r="AG27" s="4">
        <f>ABS(J27 - N27)</f>
        <v/>
      </c>
      <c r="AH27" s="43">
        <f>IF(U27&gt;J27, (U27-J27)*1500000, 0)</f>
        <v/>
      </c>
      <c r="AI27" s="43">
        <f>IF(J27&gt;U27, (J27-U27)*4500000, 0)</f>
        <v/>
      </c>
      <c r="AJ27" s="43">
        <f>AH27 + AI27 + S27</f>
        <v/>
      </c>
    </row>
    <row r="28" ht="12.75" customHeight="1" s="38">
      <c r="A28" s="4" t="inlineStr">
        <is>
          <t>Ngày 26</t>
        </is>
      </c>
      <c r="B28" s="4" t="n">
        <v>30</v>
      </c>
      <c r="C28" s="4" t="n">
        <v>0</v>
      </c>
      <c r="D28" s="5" t="n">
        <v>1</v>
      </c>
      <c r="E28" s="4" t="n">
        <v>38</v>
      </c>
      <c r="F28" s="4" t="n">
        <v>1</v>
      </c>
      <c r="G28" s="4" t="n">
        <v>55</v>
      </c>
      <c r="H28" s="40">
        <f>G28*IF(F28=1, 0.85, 0.8)</f>
        <v/>
      </c>
      <c r="I28" s="10" t="inlineStr">
        <is>
          <t>2-4</t>
        </is>
      </c>
      <c r="J28" s="4">
        <f>ROUNDUP(H28/4.8, 0)</f>
        <v/>
      </c>
      <c r="K28" s="40">
        <f>ROUND(TREND(G$3:G$32, E$3:E$32, E28), 1)</f>
        <v/>
      </c>
      <c r="L28" s="40">
        <f>ROUND(TREND(G$3:G$32, B$3:E$32, B28:E28), 1)</f>
        <v/>
      </c>
      <c r="M28" s="40">
        <f>ROUND(TREND(G$3:G$32, B$3:F$32, B28:F28), 1)</f>
        <v/>
      </c>
      <c r="N28" s="4">
        <f>ROUNDUP(L28*IF(F28=1, 0.85, 0.8)/4.8, 0)</f>
        <v/>
      </c>
      <c r="O28" s="4">
        <f>ROUND(N28*70%, 0)</f>
        <v/>
      </c>
      <c r="P28" s="4">
        <f>ROUND(N28*20%, 0)</f>
        <v/>
      </c>
      <c r="Q28" s="4">
        <f>IF(C28&gt;20, "Hủy slot (Mưa &gt; 20mm)", "Kích hoạt")</f>
        <v/>
      </c>
      <c r="R28" s="4">
        <f>IF(C28&gt;20, 0, P28)</f>
        <v/>
      </c>
      <c r="S28" s="41">
        <f>IF(C28&gt;20, P28*0.4*Y28, 0)</f>
        <v/>
      </c>
      <c r="T28" s="4">
        <f>MAX(0, J28 - O28 - R28)</f>
        <v/>
      </c>
      <c r="U28" s="4">
        <f>O28 + R28 + T28</f>
        <v/>
      </c>
      <c r="V28" s="4" t="n">
        <v>12</v>
      </c>
      <c r="W28" s="42" t="n">
        <v>46114</v>
      </c>
      <c r="X28" s="4" t="n">
        <v>6</v>
      </c>
      <c r="Y28" s="43">
        <f>IF(OR(B28&gt;=34, F28=1), 11700000, 9000000)</f>
        <v/>
      </c>
      <c r="Z28" s="44" t="n">
        <v>6</v>
      </c>
      <c r="AA28" s="40">
        <f>AVERAGE(J25:J27)</f>
        <v/>
      </c>
      <c r="AB28" s="40">
        <f>ABS(J28 - AA28)</f>
        <v/>
      </c>
      <c r="AC28" s="4">
        <f>IF(OR(W28="8-10 (Lỗi)", W28="5-8 (Lỗi)"), "Loại", "Hợp lệ")</f>
        <v/>
      </c>
      <c r="AD28" s="43">
        <f>IF(AA28="", 0, IF(AA28&gt;J28, (AA28-J28)*1500000, 0))</f>
        <v/>
      </c>
      <c r="AE28" s="43">
        <f>IF(AA28="", 0, IF(J28&gt;AA28, (J28-AA28)*4500000, 0))</f>
        <v/>
      </c>
      <c r="AF28" s="43">
        <f>AD28 + AE28</f>
        <v/>
      </c>
      <c r="AG28" s="4">
        <f>ABS(J28 - N28)</f>
        <v/>
      </c>
      <c r="AH28" s="43">
        <f>IF(U28&gt;J28, (U28-J28)*1500000, 0)</f>
        <v/>
      </c>
      <c r="AI28" s="43">
        <f>IF(J28&gt;U28, (J28-U28)*4500000, 0)</f>
        <v/>
      </c>
      <c r="AJ28" s="43">
        <f>AH28 + AI28 + S28</f>
        <v/>
      </c>
    </row>
    <row r="29" ht="12.75" customHeight="1" s="38">
      <c r="A29" s="4" t="inlineStr">
        <is>
          <t>Ngày 27</t>
        </is>
      </c>
      <c r="B29" s="4" t="n">
        <v>32</v>
      </c>
      <c r="C29" s="4" t="n">
        <v>0</v>
      </c>
      <c r="D29" s="5" t="n">
        <v>1</v>
      </c>
      <c r="E29" s="4" t="n">
        <v>32</v>
      </c>
      <c r="F29" s="4" t="n">
        <v>1</v>
      </c>
      <c r="G29" s="4" t="n">
        <v>40</v>
      </c>
      <c r="H29" s="40">
        <f>G29*IF(F29=1, 0.85, 0.8)</f>
        <v/>
      </c>
      <c r="I29" s="10" t="inlineStr">
        <is>
          <t>2-4</t>
        </is>
      </c>
      <c r="J29" s="4">
        <f>ROUNDUP(H29/4.8, 0)</f>
        <v/>
      </c>
      <c r="K29" s="40">
        <f>ROUND(TREND(G$3:G$32, E$3:E$32, E29), 1)</f>
        <v/>
      </c>
      <c r="L29" s="40">
        <f>ROUND(TREND(G$3:G$32, B$3:E$32, B29:E29), 1)</f>
        <v/>
      </c>
      <c r="M29" s="40">
        <f>ROUND(TREND(G$3:G$32, B$3:F$32, B29:F29), 1)</f>
        <v/>
      </c>
      <c r="N29" s="4">
        <f>ROUNDUP(L29*IF(F29=1, 0.85, 0.8)/4.8, 0)</f>
        <v/>
      </c>
      <c r="O29" s="4">
        <f>ROUND(N29*70%, 0)</f>
        <v/>
      </c>
      <c r="P29" s="4">
        <f>ROUND(N29*20%, 0)</f>
        <v/>
      </c>
      <c r="Q29" s="4">
        <f>IF(C29&gt;20, "Hủy slot (Mưa &gt; 20mm)", "Kích hoạt")</f>
        <v/>
      </c>
      <c r="R29" s="4">
        <f>IF(C29&gt;20, 0, P29)</f>
        <v/>
      </c>
      <c r="S29" s="41">
        <f>IF(C29&gt;20, P29*0.4*Y29, 0)</f>
        <v/>
      </c>
      <c r="T29" s="4">
        <f>MAX(0, J29 - O29 - R29)</f>
        <v/>
      </c>
      <c r="U29" s="4">
        <f>O29 + R29 + T29</f>
        <v/>
      </c>
      <c r="V29" s="4" t="n">
        <v>12</v>
      </c>
      <c r="W29" s="42" t="n">
        <v>46114</v>
      </c>
      <c r="X29" s="4" t="n">
        <v>3</v>
      </c>
      <c r="Y29" s="43">
        <f>IF(OR(B29&gt;=34, F29=1), 11700000, 9000000)</f>
        <v/>
      </c>
      <c r="Z29" s="44" t="n">
        <v>3</v>
      </c>
      <c r="AA29" s="40">
        <f>AVERAGE(J26:J28)</f>
        <v/>
      </c>
      <c r="AB29" s="40">
        <f>ABS(J29 - AA29)</f>
        <v/>
      </c>
      <c r="AC29" s="4">
        <f>IF(OR(W29="8-10 (Lỗi)", W29="5-8 (Lỗi)"), "Loại", "Hợp lệ")</f>
        <v/>
      </c>
      <c r="AD29" s="43">
        <f>IF(AA29="", 0, IF(AA29&gt;J29, (AA29-J29)*1500000, 0))</f>
        <v/>
      </c>
      <c r="AE29" s="43">
        <f>IF(AA29="", 0, IF(J29&gt;AA29, (J29-AA29)*4500000, 0))</f>
        <v/>
      </c>
      <c r="AF29" s="43">
        <f>AD29 + AE29</f>
        <v/>
      </c>
      <c r="AG29" s="4">
        <f>ABS(J29 - N29)</f>
        <v/>
      </c>
      <c r="AH29" s="43">
        <f>IF(U29&gt;J29, (U29-J29)*1500000, 0)</f>
        <v/>
      </c>
      <c r="AI29" s="43">
        <f>IF(J29&gt;U29, (J29-U29)*4500000, 0)</f>
        <v/>
      </c>
      <c r="AJ29" s="43">
        <f>AH29 + AI29 + S29</f>
        <v/>
      </c>
    </row>
    <row r="30" ht="12.75" customHeight="1" s="38">
      <c r="A30" s="4" t="inlineStr">
        <is>
          <t>Ngày 28</t>
        </is>
      </c>
      <c r="B30" s="4" t="n">
        <v>32</v>
      </c>
      <c r="C30" s="4" t="n">
        <v>0</v>
      </c>
      <c r="D30" s="5" t="n">
        <v>1</v>
      </c>
      <c r="E30" s="4" t="n">
        <v>25</v>
      </c>
      <c r="F30" s="4" t="n">
        <v>0</v>
      </c>
      <c r="G30" s="4" t="n">
        <v>35</v>
      </c>
      <c r="H30" s="40">
        <f>G30*IF(F30=1, 0.85, 0.8)</f>
        <v/>
      </c>
      <c r="I30" s="10" t="inlineStr">
        <is>
          <t>2-4</t>
        </is>
      </c>
      <c r="J30" s="4">
        <f>ROUNDUP(H30/4.8, 0)</f>
        <v/>
      </c>
      <c r="K30" s="40">
        <f>ROUND(TREND(G$3:G$32, E$3:E$32, E30), 1)</f>
        <v/>
      </c>
      <c r="L30" s="40">
        <f>ROUND(TREND(G$3:G$32, B$3:E$32, B30:E30), 1)</f>
        <v/>
      </c>
      <c r="M30" s="40">
        <f>ROUND(TREND(G$3:G$32, B$3:F$32, B30:F30), 1)</f>
        <v/>
      </c>
      <c r="N30" s="4">
        <f>ROUNDUP(L30*IF(F30=1, 0.85, 0.8)/4.8, 0)</f>
        <v/>
      </c>
      <c r="O30" s="4">
        <f>ROUND(N30*70%, 0)</f>
        <v/>
      </c>
      <c r="P30" s="4">
        <f>ROUND(N30*20%, 0)</f>
        <v/>
      </c>
      <c r="Q30" s="4">
        <f>IF(C30&gt;20, "Hủy slot (Mưa &gt; 20mm)", "Kích hoạt")</f>
        <v/>
      </c>
      <c r="R30" s="4">
        <f>IF(C30&gt;20, 0, P30)</f>
        <v/>
      </c>
      <c r="S30" s="41">
        <f>IF(C30&gt;20, P30*0.4*Y30, 0)</f>
        <v/>
      </c>
      <c r="T30" s="4">
        <f>MAX(0, J30 - O30 - R30)</f>
        <v/>
      </c>
      <c r="U30" s="4">
        <f>O30 + R30 + T30</f>
        <v/>
      </c>
      <c r="V30" s="4" t="n">
        <v>15</v>
      </c>
      <c r="W30" s="42" t="n">
        <v>46114</v>
      </c>
      <c r="X30" s="4" t="n">
        <v>2</v>
      </c>
      <c r="Y30" s="43">
        <f>IF(OR(B30&gt;=34, F30=1), 11700000, 9000000)</f>
        <v/>
      </c>
      <c r="Z30" s="44" t="n">
        <v>2</v>
      </c>
      <c r="AA30" s="40">
        <f>AVERAGE(J27:J29)</f>
        <v/>
      </c>
      <c r="AB30" s="40">
        <f>ABS(J30 - AA30)</f>
        <v/>
      </c>
      <c r="AC30" s="4">
        <f>IF(OR(W30="8-10 (Lỗi)", W30="5-8 (Lỗi)"), "Loại", "Hợp lệ")</f>
        <v/>
      </c>
      <c r="AD30" s="43">
        <f>IF(AA30="", 0, IF(AA30&gt;J30, (AA30-J30)*1500000, 0))</f>
        <v/>
      </c>
      <c r="AE30" s="43">
        <f>IF(AA30="", 0, IF(J30&gt;AA30, (J30-AA30)*4500000, 0))</f>
        <v/>
      </c>
      <c r="AF30" s="43">
        <f>AD30 + AE30</f>
        <v/>
      </c>
      <c r="AG30" s="4">
        <f>ABS(J30 - N30)</f>
        <v/>
      </c>
      <c r="AH30" s="43">
        <f>IF(U30&gt;J30, (U30-J30)*1500000, 0)</f>
        <v/>
      </c>
      <c r="AI30" s="43">
        <f>IF(J30&gt;U30, (J30-U30)*4500000, 0)</f>
        <v/>
      </c>
      <c r="AJ30" s="43">
        <f>AH30 + AI30 + S30</f>
        <v/>
      </c>
    </row>
    <row r="31" ht="12.75" customHeight="1" s="38">
      <c r="A31" s="4" t="inlineStr">
        <is>
          <t>Ngày 29</t>
        </is>
      </c>
      <c r="B31" s="4" t="n">
        <v>30</v>
      </c>
      <c r="C31" s="4" t="n">
        <v>10</v>
      </c>
      <c r="D31" s="5" t="n">
        <v>1</v>
      </c>
      <c r="E31" s="4" t="n">
        <v>18</v>
      </c>
      <c r="F31" s="4" t="n">
        <v>0</v>
      </c>
      <c r="G31" s="4" t="n">
        <v>25</v>
      </c>
      <c r="H31" s="40">
        <f>G31*IF(F31=1, 0.85, 0.8)</f>
        <v/>
      </c>
      <c r="I31" s="10" t="inlineStr">
        <is>
          <t>2-4</t>
        </is>
      </c>
      <c r="J31" s="4">
        <f>ROUNDUP(H31/4.8, 0)</f>
        <v/>
      </c>
      <c r="K31" s="40">
        <f>ROUND(TREND(G$3:G$32, E$3:E$32, E31), 1)</f>
        <v/>
      </c>
      <c r="L31" s="40">
        <f>ROUND(TREND(G$3:G$32, B$3:E$32, B31:E31), 1)</f>
        <v/>
      </c>
      <c r="M31" s="40">
        <f>ROUND(TREND(G$3:G$32, B$3:F$32, B31:F31), 1)</f>
        <v/>
      </c>
      <c r="N31" s="4">
        <f>ROUNDUP(L31*IF(F31=1, 0.85, 0.8)/4.8, 0)</f>
        <v/>
      </c>
      <c r="O31" s="4">
        <f>ROUND(N31*70%, 0)</f>
        <v/>
      </c>
      <c r="P31" s="4">
        <f>ROUND(N31*20%, 0)</f>
        <v/>
      </c>
      <c r="Q31" s="4">
        <f>IF(C31&gt;20, "Hủy slot (Mưa &gt; 20mm)", "Kích hoạt")</f>
        <v/>
      </c>
      <c r="R31" s="4">
        <f>IF(C31&gt;20, 0, P31)</f>
        <v/>
      </c>
      <c r="S31" s="41">
        <f>IF(C31&gt;20, P31*0.4*Y31, 0)</f>
        <v/>
      </c>
      <c r="T31" s="4">
        <f>MAX(0, J31 - O31 - R31)</f>
        <v/>
      </c>
      <c r="U31" s="4">
        <f>O31 + R31 + T31</f>
        <v/>
      </c>
      <c r="V31" s="4" t="n">
        <v>15</v>
      </c>
      <c r="W31" s="42" t="n">
        <v>46114</v>
      </c>
      <c r="X31" s="4" t="n">
        <v>1</v>
      </c>
      <c r="Y31" s="43">
        <f>IF(OR(B31&gt;=34, F31=1), 11700000, 9000000)</f>
        <v/>
      </c>
      <c r="Z31" s="44" t="n">
        <v>2</v>
      </c>
      <c r="AA31" s="40">
        <f>AVERAGE(J28:J30)</f>
        <v/>
      </c>
      <c r="AB31" s="40">
        <f>ABS(J31 - AA31)</f>
        <v/>
      </c>
      <c r="AC31" s="4">
        <f>IF(OR(W31="8-10 (Lỗi)", W31="5-8 (Lỗi)"), "Loại", "Hợp lệ")</f>
        <v/>
      </c>
      <c r="AD31" s="43">
        <f>IF(AA31="", 0, IF(AA31&gt;J31, (AA31-J31)*1500000, 0))</f>
        <v/>
      </c>
      <c r="AE31" s="43">
        <f>IF(AA31="", 0, IF(J31&gt;AA31, (J31-AA31)*4500000, 0))</f>
        <v/>
      </c>
      <c r="AF31" s="43">
        <f>AD31 + AE31</f>
        <v/>
      </c>
      <c r="AG31" s="4">
        <f>ABS(J31 - N31)</f>
        <v/>
      </c>
      <c r="AH31" s="43">
        <f>IF(U31&gt;J31, (U31-J31)*1500000, 0)</f>
        <v/>
      </c>
      <c r="AI31" s="43">
        <f>IF(J31&gt;U31, (J31-U31)*4500000, 0)</f>
        <v/>
      </c>
      <c r="AJ31" s="43">
        <f>AH31 + AI31 + S31</f>
        <v/>
      </c>
    </row>
    <row r="32" ht="12.75" customHeight="1" s="38">
      <c r="A32" s="4" t="inlineStr">
        <is>
          <t>Ngày 30</t>
        </is>
      </c>
      <c r="B32" s="4" t="n">
        <v>31</v>
      </c>
      <c r="C32" s="4" t="n">
        <v>0</v>
      </c>
      <c r="D32" s="5" t="n">
        <v>1</v>
      </c>
      <c r="E32" s="4" t="n">
        <v>12</v>
      </c>
      <c r="F32" s="4" t="n">
        <v>0</v>
      </c>
      <c r="G32" s="4" t="n">
        <v>15</v>
      </c>
      <c r="H32" s="40">
        <f>G32*IF(F32=1, 0.85, 0.8)</f>
        <v/>
      </c>
      <c r="I32" s="10" t="inlineStr">
        <is>
          <t>2-4</t>
        </is>
      </c>
      <c r="J32" s="4">
        <f>ROUNDUP(H32/4.8, 0)</f>
        <v/>
      </c>
      <c r="K32" s="40">
        <f>ROUND(TREND(G$3:G$32, E$3:E$32, E32), 1)</f>
        <v/>
      </c>
      <c r="L32" s="40">
        <f>ROUND(TREND(G$3:G$32, B$3:E$32, B32:E32), 1)</f>
        <v/>
      </c>
      <c r="M32" s="40">
        <f>ROUND(TREND(G$3:G$32, B$3:F$32, B32:F32), 1)</f>
        <v/>
      </c>
      <c r="N32" s="4">
        <f>ROUNDUP(L32*IF(F32=1, 0.85, 0.8)/4.8, 0)</f>
        <v/>
      </c>
      <c r="O32" s="4">
        <f>ROUND(N32*70%, 0)</f>
        <v/>
      </c>
      <c r="P32" s="4">
        <f>ROUND(N32*20%, 0)</f>
        <v/>
      </c>
      <c r="Q32" s="4">
        <f>IF(C32&gt;20, "Hủy slot (Mưa &gt; 20mm)", "Kích hoạt")</f>
        <v/>
      </c>
      <c r="R32" s="4">
        <f>IF(C32&gt;20, 0, P32)</f>
        <v/>
      </c>
      <c r="S32" s="41">
        <f>IF(C32&gt;20, P32*0.4*Y32, 0)</f>
        <v/>
      </c>
      <c r="T32" s="4">
        <f>MAX(0, J32 - O32 - R32)</f>
        <v/>
      </c>
      <c r="U32" s="4">
        <f>O32 + R32 + T32</f>
        <v/>
      </c>
      <c r="V32" s="4" t="n">
        <v>15</v>
      </c>
      <c r="W32" s="42" t="n">
        <v>46114</v>
      </c>
      <c r="X32" s="4" t="n">
        <v>1</v>
      </c>
      <c r="Y32" s="43">
        <f>IF(OR(B32&gt;=34, F32=1), 11700000, 9000000)</f>
        <v/>
      </c>
      <c r="Z32" s="44" t="n">
        <v>1</v>
      </c>
      <c r="AA32" s="40">
        <f>AVERAGE(J29:J31)</f>
        <v/>
      </c>
      <c r="AB32" s="40">
        <f>ABS(J32 - AA32)</f>
        <v/>
      </c>
      <c r="AC32" s="4">
        <f>IF(OR(W32="8-10 (Lỗi)", W32="5-8 (Lỗi)"), "Loại", "Hợp lệ")</f>
        <v/>
      </c>
      <c r="AD32" s="43">
        <f>IF(AA32="", 0, IF(AA32&gt;J32, (AA32-J32)*1500000, 0))</f>
        <v/>
      </c>
      <c r="AE32" s="43">
        <f>IF(AA32="", 0, IF(J32&gt;AA32, (J32-AA32)*4500000, 0))</f>
        <v/>
      </c>
      <c r="AF32" s="43">
        <f>AD32 + AE32</f>
        <v/>
      </c>
      <c r="AG32" s="4">
        <f>ABS(J32 - N32)</f>
        <v/>
      </c>
      <c r="AH32" s="43">
        <f>IF(U32&gt;J32, (U32-J32)*1500000, 0)</f>
        <v/>
      </c>
      <c r="AI32" s="43">
        <f>IF(J32&gt;U32, (J32-U32)*4500000, 0)</f>
        <v/>
      </c>
      <c r="AJ32" s="43">
        <f>AH32 + AI32 + S32</f>
        <v/>
      </c>
    </row>
    <row r="33" ht="12.75" customHeight="1" s="38"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21" t="n"/>
      <c r="Z33" s="3" t="n"/>
      <c r="AA33" s="3" t="n"/>
      <c r="AB33" s="3" t="n"/>
      <c r="AC33" s="3" t="n"/>
      <c r="AD33" s="21" t="n"/>
      <c r="AE33" s="21" t="n"/>
      <c r="AF33" s="21" t="n"/>
      <c r="AG33" s="3" t="n"/>
      <c r="AH33" s="21" t="n"/>
      <c r="AI33" s="21" t="n"/>
      <c r="AJ33" s="21" t="n"/>
    </row>
    <row r="34" ht="24" customHeight="1" s="38">
      <c r="B34" s="45" t="inlineStr">
        <is>
          <t>BẢNG TỔNG HỢP KPI SO SÁNH HIỆU QUẢ: MÔ HÌNH NỀN (BASELINE) VS. MÔ HÌNH FROSTLINK</t>
        </is>
      </c>
      <c r="C34" s="46" t="n"/>
      <c r="D34" s="46" t="n"/>
      <c r="E34" s="46" t="n"/>
      <c r="F34" s="47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21" t="n"/>
      <c r="Z34" s="3" t="n"/>
      <c r="AA34" s="3" t="n"/>
      <c r="AB34" s="3" t="n"/>
      <c r="AC34" s="3" t="n"/>
      <c r="AD34" s="21" t="n"/>
      <c r="AE34" s="21" t="n"/>
      <c r="AF34" s="21" t="n"/>
      <c r="AG34" s="3" t="n"/>
      <c r="AH34" s="21" t="n"/>
      <c r="AI34" s="21" t="n"/>
      <c r="AJ34" s="21" t="n"/>
    </row>
    <row r="35" ht="12.75" customHeight="1" s="38">
      <c r="B35" s="22" t="inlineStr">
        <is>
          <t>Chỉ số KPI Đánh giá</t>
        </is>
      </c>
      <c r="C35" s="22" t="inlineStr">
        <is>
          <t>Mô hình nền (Baseline)</t>
        </is>
      </c>
      <c r="D35" s="22" t="inlineStr">
        <is>
          <t>Mô hình FrostLink (Đề xuất)</t>
        </is>
      </c>
      <c r="E35" s="22" t="inlineStr">
        <is>
          <t>Chênh lệch (Mức giảm)</t>
        </is>
      </c>
      <c r="F35" s="22" t="inlineStr">
        <is>
          <t>Tỷ lệ cải thiện (%)</t>
        </is>
      </c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21" t="n"/>
      <c r="Z35" s="3" t="n"/>
      <c r="AA35" s="3" t="n"/>
      <c r="AB35" s="3" t="n"/>
      <c r="AC35" s="3" t="n"/>
      <c r="AD35" s="21" t="n"/>
      <c r="AE35" s="21" t="n"/>
      <c r="AF35" s="21" t="n"/>
      <c r="AG35" s="3" t="n"/>
      <c r="AH35" s="21" t="n"/>
      <c r="AI35" s="21" t="n"/>
      <c r="AJ35" s="21" t="n"/>
    </row>
    <row r="36" ht="12.75" customHeight="1" s="38">
      <c r="B36" s="22" t="inlineStr">
        <is>
          <t>Sai số số xe trung bình (Truck MAE - Xe/ngày)</t>
        </is>
      </c>
      <c r="C36" s="23">
        <f>AVERAGE(AB6:AB32)</f>
        <v/>
      </c>
      <c r="D36" s="23">
        <f>AVERAGE(AG3:AG32)</f>
        <v/>
      </c>
      <c r="E36" s="23">
        <f>C36 - D36</f>
        <v/>
      </c>
      <c r="F36" s="24">
        <f>(C36 - D36) / C36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21" t="n"/>
      <c r="Z36" s="3" t="n"/>
      <c r="AA36" s="3" t="n"/>
      <c r="AB36" s="3" t="n"/>
      <c r="AC36" s="3" t="n"/>
      <c r="AD36" s="21" t="n"/>
      <c r="AE36" s="21" t="n"/>
      <c r="AF36" s="21" t="n"/>
      <c r="AG36" s="3" t="n"/>
      <c r="AH36" s="21" t="n"/>
      <c r="AI36" s="21" t="n"/>
      <c r="AJ36" s="21" t="n"/>
    </row>
    <row r="37" ht="12.75" customHeight="1" s="38">
      <c r="B37" s="22" t="inlineStr">
        <is>
          <t>Sai số phần trăm có trọng số (Truck WAPE)</t>
        </is>
      </c>
      <c r="C37" s="24">
        <f>SUM(AB6:AB32) / SUM(J6:J32)</f>
        <v/>
      </c>
      <c r="D37" s="24">
        <f>SUM(AG3:AG32) / SUM(J3:J32)</f>
        <v/>
      </c>
      <c r="E37" s="24">
        <f>C37 - D37</f>
        <v/>
      </c>
      <c r="F37" s="24">
        <f>(C37 - D37) / C37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21" t="n"/>
      <c r="Z37" s="3" t="n"/>
      <c r="AA37" s="3" t="n"/>
      <c r="AB37" s="3" t="n"/>
      <c r="AC37" s="3" t="n"/>
      <c r="AD37" s="21" t="n"/>
      <c r="AE37" s="21" t="n"/>
      <c r="AF37" s="21" t="n"/>
      <c r="AG37" s="3" t="n"/>
      <c r="AH37" s="21" t="n"/>
      <c r="AI37" s="21" t="n"/>
      <c r="AJ37" s="21" t="n"/>
    </row>
    <row r="38" ht="12.75" customHeight="1" s="38">
      <c r="B38" s="22" t="inlineStr">
        <is>
          <t>Sai số sản lượng MAE (Tấn/ngày)</t>
        </is>
      </c>
      <c r="C38" s="23">
        <f>AVERAGE(AB6:AB32) * 4.8</f>
        <v/>
      </c>
      <c r="D38" s="23">
        <f t="array" ref="D38">AVERAGE(INDEX(ABS(G3:G32 - M3:M32),0))</f>
        <v/>
      </c>
      <c r="E38" s="23">
        <f>C38 - D38</f>
        <v/>
      </c>
      <c r="F38" s="24">
        <f>(C38 - D38) / C38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21" t="n"/>
      <c r="Z38" s="3" t="n"/>
      <c r="AA38" s="3" t="n"/>
      <c r="AB38" s="3" t="n"/>
      <c r="AC38" s="3" t="n"/>
      <c r="AD38" s="21" t="n"/>
      <c r="AE38" s="21" t="n"/>
      <c r="AF38" s="21" t="n"/>
      <c r="AG38" s="3" t="n"/>
      <c r="AH38" s="21" t="n"/>
      <c r="AI38" s="21" t="n"/>
      <c r="AJ38" s="21" t="n"/>
    </row>
    <row r="39" ht="12.75" customHeight="1" s="38">
      <c r="B39" s="22" t="inlineStr">
        <is>
          <t>Tổng chi phí thừa xe C_over (VNĐ)</t>
        </is>
      </c>
      <c r="C39" s="48">
        <f>SUM(AD3:AD32)</f>
        <v/>
      </c>
      <c r="D39" s="48">
        <f>SUM(AH3:AH32)</f>
        <v/>
      </c>
      <c r="E39" s="48">
        <f>C39 - D39</f>
        <v/>
      </c>
      <c r="F39" s="24">
        <f>IF(C39=0, 0, (C39 - D39) / C39)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21" t="n"/>
      <c r="Z39" s="3" t="n"/>
      <c r="AA39" s="3" t="n"/>
      <c r="AB39" s="3" t="n"/>
      <c r="AC39" s="3" t="n"/>
      <c r="AD39" s="21" t="n"/>
      <c r="AE39" s="21" t="n"/>
      <c r="AF39" s="21" t="n"/>
      <c r="AG39" s="3" t="n"/>
      <c r="AH39" s="21" t="n"/>
      <c r="AI39" s="21" t="n"/>
      <c r="AJ39" s="21" t="n"/>
    </row>
    <row r="40" ht="12.75" customHeight="1" s="38">
      <c r="B40" s="22" t="inlineStr">
        <is>
          <t>Tổng chi phí thiếu xe C_under (VNĐ)</t>
        </is>
      </c>
      <c r="C40" s="48">
        <f>SUM(AE3:AE32)</f>
        <v/>
      </c>
      <c r="D40" s="48">
        <f>SUM(AI3:AI32)</f>
        <v/>
      </c>
      <c r="E40" s="48">
        <f>C40 - D40</f>
        <v/>
      </c>
      <c r="F40" s="24">
        <f>IF(C40=0, 0, (C40 - D40) / C40)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21" t="n"/>
      <c r="Z40" s="3" t="n"/>
      <c r="AA40" s="3" t="n"/>
      <c r="AB40" s="3" t="n"/>
      <c r="AC40" s="3" t="n"/>
      <c r="AD40" s="21" t="n"/>
      <c r="AE40" s="21" t="n"/>
      <c r="AF40" s="21" t="n"/>
      <c r="AG40" s="3" t="n"/>
      <c r="AH40" s="21" t="n"/>
      <c r="AI40" s="21" t="n"/>
      <c r="AJ40" s="21" t="n"/>
    </row>
    <row r="41" ht="12.75" customHeight="1" s="38">
      <c r="B41" s="22" t="inlineStr">
        <is>
          <t>Chi phí phạt hủy cọc Lớp 2 (VNĐ)</t>
        </is>
      </c>
      <c r="C41" s="48" t="n">
        <v>0</v>
      </c>
      <c r="D41" s="48">
        <f>SUM(S3:S32)</f>
        <v/>
      </c>
      <c r="E41" s="26" t="n"/>
      <c r="F41" s="26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21" t="n"/>
      <c r="Z41" s="3" t="n"/>
      <c r="AA41" s="3" t="n"/>
      <c r="AB41" s="3" t="n"/>
      <c r="AC41" s="3" t="n"/>
      <c r="AD41" s="21" t="n"/>
      <c r="AE41" s="21" t="n"/>
      <c r="AF41" s="21" t="n"/>
      <c r="AG41" s="3" t="n"/>
      <c r="AH41" s="21" t="n"/>
      <c r="AI41" s="21" t="n"/>
      <c r="AJ41" s="21" t="n"/>
    </row>
    <row r="42" ht="12.75" customHeight="1" s="38">
      <c r="B42" s="27" t="inlineStr">
        <is>
          <t>TỔNG CHI PHÍ RỦI RO CHUỖI LẠNH (VNĐ)</t>
        </is>
      </c>
      <c r="C42" s="49">
        <f>SUM(AF3:AF32)</f>
        <v/>
      </c>
      <c r="D42" s="49">
        <f>SUM(AJ3:AJ32)</f>
        <v/>
      </c>
      <c r="E42" s="49">
        <f>C42 - D42</f>
        <v/>
      </c>
      <c r="F42" s="29">
        <f>(C42 - D42) / C42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21" t="n"/>
      <c r="Z42" s="3" t="n"/>
      <c r="AA42" s="3" t="n"/>
      <c r="AB42" s="3" t="n"/>
      <c r="AC42" s="3" t="n"/>
      <c r="AD42" s="21" t="n"/>
      <c r="AE42" s="21" t="n"/>
      <c r="AF42" s="21" t="n"/>
      <c r="AG42" s="3" t="n"/>
      <c r="AH42" s="21" t="n"/>
      <c r="AI42" s="21" t="n"/>
      <c r="AJ42" s="21" t="n"/>
    </row>
    <row r="43" ht="12.75" customHeight="1" s="38"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21" t="n"/>
      <c r="Z43" s="3" t="n"/>
      <c r="AA43" s="3" t="n"/>
      <c r="AB43" s="3" t="n"/>
      <c r="AC43" s="3" t="n"/>
      <c r="AD43" s="21" t="n"/>
      <c r="AE43" s="21" t="n"/>
      <c r="AF43" s="21" t="n"/>
      <c r="AG43" s="3" t="n"/>
      <c r="AH43" s="21" t="n"/>
      <c r="AI43" s="21" t="n"/>
      <c r="AJ43" s="21" t="n"/>
    </row>
    <row r="44" ht="12.75" customHeight="1" s="38"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21" t="n"/>
      <c r="Z44" s="3" t="n"/>
      <c r="AA44" s="3" t="n"/>
      <c r="AB44" s="3" t="n"/>
      <c r="AC44" s="3" t="n"/>
      <c r="AD44" s="21" t="n"/>
      <c r="AE44" s="21" t="n"/>
      <c r="AF44" s="21" t="n"/>
      <c r="AG44" s="3" t="n"/>
      <c r="AH44" s="21" t="n"/>
      <c r="AI44" s="21" t="n"/>
      <c r="AJ44" s="21" t="n"/>
    </row>
    <row r="45" ht="12.75" customHeight="1" s="38"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21" t="n"/>
      <c r="Z45" s="3" t="n"/>
      <c r="AA45" s="3" t="n"/>
      <c r="AB45" s="3" t="n"/>
      <c r="AC45" s="3" t="n"/>
      <c r="AD45" s="21" t="n"/>
      <c r="AE45" s="21" t="n"/>
      <c r="AF45" s="21" t="n"/>
      <c r="AG45" s="3" t="n"/>
      <c r="AH45" s="21" t="n"/>
      <c r="AI45" s="21" t="n"/>
      <c r="AJ45" s="21" t="n"/>
    </row>
    <row r="46" ht="12.75" customHeight="1" s="38"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21" t="n"/>
      <c r="Z46" s="3" t="n"/>
      <c r="AA46" s="3" t="n"/>
      <c r="AB46" s="3" t="n"/>
      <c r="AC46" s="3" t="n"/>
      <c r="AD46" s="21" t="n"/>
      <c r="AE46" s="21" t="n"/>
      <c r="AF46" s="21" t="n"/>
      <c r="AG46" s="3" t="n"/>
      <c r="AH46" s="21" t="n"/>
      <c r="AI46" s="21" t="n"/>
      <c r="AJ46" s="21" t="n"/>
    </row>
    <row r="47" ht="12.75" customHeight="1" s="38"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21" t="n"/>
      <c r="Z47" s="3" t="n"/>
      <c r="AA47" s="3" t="n"/>
      <c r="AB47" s="3" t="n"/>
      <c r="AC47" s="3" t="n"/>
      <c r="AD47" s="21" t="n"/>
      <c r="AE47" s="21" t="n"/>
      <c r="AF47" s="21" t="n"/>
      <c r="AG47" s="3" t="n"/>
      <c r="AH47" s="21" t="n"/>
      <c r="AI47" s="21" t="n"/>
      <c r="AJ47" s="21" t="n"/>
    </row>
    <row r="48" ht="12.75" customHeight="1" s="38"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21" t="n"/>
      <c r="Z48" s="3" t="n"/>
      <c r="AA48" s="3" t="n"/>
      <c r="AB48" s="3" t="n"/>
      <c r="AC48" s="3" t="n"/>
      <c r="AD48" s="21" t="n"/>
      <c r="AE48" s="21" t="n"/>
      <c r="AF48" s="21" t="n"/>
      <c r="AG48" s="3" t="n"/>
      <c r="AH48" s="21" t="n"/>
      <c r="AI48" s="21" t="n"/>
      <c r="AJ48" s="21" t="n"/>
    </row>
    <row r="49" ht="12.75" customHeight="1" s="38"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21" t="n"/>
      <c r="Z49" s="3" t="n"/>
      <c r="AA49" s="3" t="n"/>
      <c r="AB49" s="3" t="n"/>
      <c r="AC49" s="3" t="n"/>
      <c r="AD49" s="21" t="n"/>
      <c r="AE49" s="21" t="n"/>
      <c r="AF49" s="21" t="n"/>
      <c r="AG49" s="3" t="n"/>
      <c r="AH49" s="21" t="n"/>
      <c r="AI49" s="21" t="n"/>
      <c r="AJ49" s="21" t="n"/>
    </row>
    <row r="50" ht="12.75" customHeight="1" s="38"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21" t="n"/>
      <c r="Z50" s="3" t="n"/>
      <c r="AA50" s="3" t="n"/>
      <c r="AB50" s="3" t="n"/>
      <c r="AC50" s="3" t="n"/>
      <c r="AD50" s="21" t="n"/>
      <c r="AE50" s="21" t="n"/>
      <c r="AF50" s="21" t="n"/>
      <c r="AG50" s="3" t="n"/>
      <c r="AH50" s="21" t="n"/>
      <c r="AI50" s="21" t="n"/>
      <c r="AJ50" s="21" t="n"/>
    </row>
    <row r="51" ht="12.75" customHeight="1" s="38"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21" t="n"/>
      <c r="Z51" s="3" t="n"/>
      <c r="AA51" s="3" t="n"/>
      <c r="AB51" s="3" t="n"/>
      <c r="AC51" s="3" t="n"/>
      <c r="AD51" s="21" t="n"/>
      <c r="AE51" s="21" t="n"/>
      <c r="AF51" s="21" t="n"/>
      <c r="AG51" s="3" t="n"/>
      <c r="AH51" s="21" t="n"/>
      <c r="AI51" s="21" t="n"/>
      <c r="AJ51" s="21" t="n"/>
    </row>
    <row r="52" ht="12.75" customHeight="1" s="38"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21" t="n"/>
      <c r="Z52" s="3" t="n"/>
      <c r="AA52" s="3" t="n"/>
      <c r="AB52" s="3" t="n"/>
      <c r="AC52" s="3" t="n"/>
      <c r="AD52" s="21" t="n"/>
      <c r="AE52" s="21" t="n"/>
      <c r="AF52" s="21" t="n"/>
      <c r="AG52" s="3" t="n"/>
      <c r="AH52" s="21" t="n"/>
      <c r="AI52" s="21" t="n"/>
      <c r="AJ52" s="21" t="n"/>
    </row>
    <row r="53" ht="12.75" customHeight="1" s="38"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21" t="n"/>
      <c r="Z53" s="3" t="n"/>
      <c r="AA53" s="3" t="n"/>
      <c r="AB53" s="3" t="n"/>
      <c r="AC53" s="3" t="n"/>
      <c r="AD53" s="21" t="n"/>
      <c r="AE53" s="21" t="n"/>
      <c r="AF53" s="21" t="n"/>
      <c r="AG53" s="3" t="n"/>
      <c r="AH53" s="21" t="n"/>
      <c r="AI53" s="21" t="n"/>
      <c r="AJ53" s="21" t="n"/>
    </row>
    <row r="54" ht="12.75" customHeight="1" s="38"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21" t="n"/>
      <c r="Z54" s="3" t="n"/>
      <c r="AA54" s="3" t="n"/>
      <c r="AB54" s="3" t="n"/>
      <c r="AC54" s="3" t="n"/>
      <c r="AD54" s="21" t="n"/>
      <c r="AE54" s="21" t="n"/>
      <c r="AF54" s="21" t="n"/>
      <c r="AG54" s="3" t="n"/>
      <c r="AH54" s="21" t="n"/>
      <c r="AI54" s="21" t="n"/>
      <c r="AJ54" s="21" t="n"/>
    </row>
    <row r="55" ht="12.75" customHeight="1" s="38"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21" t="n"/>
      <c r="Z55" s="3" t="n"/>
      <c r="AA55" s="3" t="n"/>
      <c r="AB55" s="3" t="n"/>
      <c r="AC55" s="3" t="n"/>
      <c r="AD55" s="21" t="n"/>
      <c r="AE55" s="21" t="n"/>
      <c r="AF55" s="21" t="n"/>
      <c r="AG55" s="3" t="n"/>
      <c r="AH55" s="21" t="n"/>
      <c r="AI55" s="21" t="n"/>
      <c r="AJ55" s="21" t="n"/>
    </row>
    <row r="56" ht="12.75" customHeight="1" s="38"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21" t="n"/>
      <c r="Z56" s="3" t="n"/>
      <c r="AA56" s="3" t="n"/>
      <c r="AB56" s="3" t="n"/>
      <c r="AC56" s="3" t="n"/>
      <c r="AD56" s="21" t="n"/>
      <c r="AE56" s="21" t="n"/>
      <c r="AF56" s="21" t="n"/>
      <c r="AG56" s="3" t="n"/>
      <c r="AH56" s="21" t="n"/>
      <c r="AI56" s="21" t="n"/>
      <c r="AJ56" s="21" t="n"/>
    </row>
    <row r="57" ht="12.75" customHeight="1" s="38"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21" t="n"/>
      <c r="Z57" s="3" t="n"/>
      <c r="AA57" s="3" t="n"/>
      <c r="AB57" s="3" t="n"/>
      <c r="AC57" s="3" t="n"/>
      <c r="AD57" s="21" t="n"/>
      <c r="AE57" s="21" t="n"/>
      <c r="AF57" s="21" t="n"/>
      <c r="AG57" s="3" t="n"/>
      <c r="AH57" s="21" t="n"/>
      <c r="AI57" s="21" t="n"/>
      <c r="AJ57" s="21" t="n"/>
    </row>
    <row r="58" ht="12.75" customHeight="1" s="38"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21" t="n"/>
      <c r="Z58" s="3" t="n"/>
      <c r="AA58" s="3" t="n"/>
      <c r="AB58" s="3" t="n"/>
      <c r="AC58" s="3" t="n"/>
      <c r="AD58" s="21" t="n"/>
      <c r="AE58" s="21" t="n"/>
      <c r="AF58" s="21" t="n"/>
      <c r="AG58" s="3" t="n"/>
      <c r="AH58" s="21" t="n"/>
      <c r="AI58" s="21" t="n"/>
      <c r="AJ58" s="21" t="n"/>
    </row>
    <row r="59" ht="12.75" customHeight="1" s="38"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21" t="n"/>
      <c r="Z59" s="3" t="n"/>
      <c r="AA59" s="3" t="n"/>
      <c r="AB59" s="3" t="n"/>
      <c r="AC59" s="3" t="n"/>
      <c r="AD59" s="21" t="n"/>
      <c r="AE59" s="21" t="n"/>
      <c r="AF59" s="21" t="n"/>
      <c r="AG59" s="3" t="n"/>
      <c r="AH59" s="21" t="n"/>
      <c r="AI59" s="21" t="n"/>
      <c r="AJ59" s="21" t="n"/>
    </row>
    <row r="60" ht="12.75" customHeight="1" s="38"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21" t="n"/>
      <c r="Z60" s="3" t="n"/>
      <c r="AA60" s="3" t="n"/>
      <c r="AB60" s="3" t="n"/>
      <c r="AC60" s="3" t="n"/>
      <c r="AD60" s="21" t="n"/>
      <c r="AE60" s="21" t="n"/>
      <c r="AF60" s="21" t="n"/>
      <c r="AG60" s="3" t="n"/>
      <c r="AH60" s="21" t="n"/>
      <c r="AI60" s="21" t="n"/>
      <c r="AJ60" s="21" t="n"/>
    </row>
    <row r="61" ht="12.75" customHeight="1" s="38"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21" t="n"/>
      <c r="Z61" s="3" t="n"/>
      <c r="AA61" s="3" t="n"/>
      <c r="AB61" s="3" t="n"/>
      <c r="AC61" s="3" t="n"/>
      <c r="AD61" s="21" t="n"/>
      <c r="AE61" s="21" t="n"/>
      <c r="AF61" s="21" t="n"/>
      <c r="AG61" s="3" t="n"/>
      <c r="AH61" s="21" t="n"/>
      <c r="AI61" s="21" t="n"/>
      <c r="AJ61" s="21" t="n"/>
    </row>
    <row r="62" ht="12.75" customHeight="1" s="38"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21" t="n"/>
      <c r="Z62" s="3" t="n"/>
      <c r="AA62" s="3" t="n"/>
      <c r="AB62" s="3" t="n"/>
      <c r="AC62" s="3" t="n"/>
      <c r="AD62" s="21" t="n"/>
      <c r="AE62" s="21" t="n"/>
      <c r="AF62" s="21" t="n"/>
      <c r="AG62" s="3" t="n"/>
      <c r="AH62" s="21" t="n"/>
      <c r="AI62" s="21" t="n"/>
      <c r="AJ62" s="21" t="n"/>
    </row>
    <row r="63" ht="12.75" customHeight="1" s="38"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21" t="n"/>
      <c r="Z63" s="3" t="n"/>
      <c r="AA63" s="3" t="n"/>
      <c r="AB63" s="3" t="n"/>
      <c r="AC63" s="3" t="n"/>
      <c r="AD63" s="21" t="n"/>
      <c r="AE63" s="21" t="n"/>
      <c r="AF63" s="21" t="n"/>
      <c r="AG63" s="3" t="n"/>
      <c r="AH63" s="21" t="n"/>
      <c r="AI63" s="21" t="n"/>
      <c r="AJ63" s="21" t="n"/>
    </row>
    <row r="64" ht="12.75" customHeight="1" s="38"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21" t="n"/>
      <c r="Z64" s="3" t="n"/>
      <c r="AA64" s="3" t="n"/>
      <c r="AB64" s="3" t="n"/>
      <c r="AC64" s="3" t="n"/>
      <c r="AD64" s="21" t="n"/>
      <c r="AE64" s="21" t="n"/>
      <c r="AF64" s="21" t="n"/>
      <c r="AG64" s="3" t="n"/>
      <c r="AH64" s="21" t="n"/>
      <c r="AI64" s="21" t="n"/>
      <c r="AJ64" s="21" t="n"/>
    </row>
    <row r="65" ht="12.75" customHeight="1" s="38"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21" t="n"/>
      <c r="Z65" s="3" t="n"/>
      <c r="AA65" s="3" t="n"/>
      <c r="AB65" s="3" t="n"/>
      <c r="AC65" s="3" t="n"/>
      <c r="AD65" s="21" t="n"/>
      <c r="AE65" s="21" t="n"/>
      <c r="AF65" s="21" t="n"/>
      <c r="AG65" s="3" t="n"/>
      <c r="AH65" s="21" t="n"/>
      <c r="AI65" s="21" t="n"/>
      <c r="AJ65" s="21" t="n"/>
    </row>
    <row r="66" ht="12.75" customHeight="1" s="38"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21" t="n"/>
      <c r="Z66" s="3" t="n"/>
      <c r="AA66" s="3" t="n"/>
      <c r="AB66" s="3" t="n"/>
      <c r="AC66" s="3" t="n"/>
      <c r="AD66" s="21" t="n"/>
      <c r="AE66" s="21" t="n"/>
      <c r="AF66" s="21" t="n"/>
      <c r="AG66" s="3" t="n"/>
      <c r="AH66" s="21" t="n"/>
      <c r="AI66" s="21" t="n"/>
      <c r="AJ66" s="21" t="n"/>
    </row>
    <row r="67" ht="12.75" customHeight="1" s="38"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21" t="n"/>
      <c r="Z67" s="3" t="n"/>
      <c r="AA67" s="3" t="n"/>
      <c r="AB67" s="3" t="n"/>
      <c r="AC67" s="3" t="n"/>
      <c r="AD67" s="21" t="n"/>
      <c r="AE67" s="21" t="n"/>
      <c r="AF67" s="21" t="n"/>
      <c r="AG67" s="3" t="n"/>
      <c r="AH67" s="21" t="n"/>
      <c r="AI67" s="21" t="n"/>
      <c r="AJ67" s="21" t="n"/>
    </row>
    <row r="68" ht="12.75" customHeight="1" s="38"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21" t="n"/>
      <c r="Z68" s="3" t="n"/>
      <c r="AA68" s="3" t="n"/>
      <c r="AB68" s="3" t="n"/>
      <c r="AC68" s="3" t="n"/>
      <c r="AD68" s="21" t="n"/>
      <c r="AE68" s="21" t="n"/>
      <c r="AF68" s="21" t="n"/>
      <c r="AG68" s="3" t="n"/>
      <c r="AH68" s="21" t="n"/>
      <c r="AI68" s="21" t="n"/>
      <c r="AJ68" s="21" t="n"/>
    </row>
    <row r="69" ht="12.75" customHeight="1" s="38"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21" t="n"/>
      <c r="Z69" s="3" t="n"/>
      <c r="AA69" s="3" t="n"/>
      <c r="AB69" s="3" t="n"/>
      <c r="AC69" s="3" t="n"/>
      <c r="AD69" s="21" t="n"/>
      <c r="AE69" s="21" t="n"/>
      <c r="AF69" s="21" t="n"/>
      <c r="AG69" s="3" t="n"/>
      <c r="AH69" s="21" t="n"/>
      <c r="AI69" s="21" t="n"/>
      <c r="AJ69" s="21" t="n"/>
    </row>
    <row r="70" ht="12.75" customHeight="1" s="38"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21" t="n"/>
      <c r="Z70" s="3" t="n"/>
      <c r="AA70" s="3" t="n"/>
      <c r="AB70" s="3" t="n"/>
      <c r="AC70" s="3" t="n"/>
      <c r="AD70" s="21" t="n"/>
      <c r="AE70" s="21" t="n"/>
      <c r="AF70" s="21" t="n"/>
      <c r="AG70" s="3" t="n"/>
      <c r="AH70" s="21" t="n"/>
      <c r="AI70" s="21" t="n"/>
      <c r="AJ70" s="21" t="n"/>
    </row>
    <row r="71" ht="12.75" customHeight="1" s="38"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21" t="n"/>
      <c r="Z71" s="3" t="n"/>
      <c r="AA71" s="3" t="n"/>
      <c r="AB71" s="3" t="n"/>
      <c r="AC71" s="3" t="n"/>
      <c r="AD71" s="21" t="n"/>
      <c r="AE71" s="21" t="n"/>
      <c r="AF71" s="21" t="n"/>
      <c r="AG71" s="3" t="n"/>
      <c r="AH71" s="21" t="n"/>
      <c r="AI71" s="21" t="n"/>
      <c r="AJ71" s="21" t="n"/>
    </row>
    <row r="72" ht="12.75" customHeight="1" s="38"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21" t="n"/>
      <c r="Z72" s="3" t="n"/>
      <c r="AA72" s="3" t="n"/>
      <c r="AB72" s="3" t="n"/>
      <c r="AC72" s="3" t="n"/>
      <c r="AD72" s="21" t="n"/>
      <c r="AE72" s="21" t="n"/>
      <c r="AF72" s="21" t="n"/>
      <c r="AG72" s="3" t="n"/>
      <c r="AH72" s="21" t="n"/>
      <c r="AI72" s="21" t="n"/>
      <c r="AJ72" s="21" t="n"/>
    </row>
    <row r="73" ht="12.75" customHeight="1" s="38"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21" t="n"/>
      <c r="Z73" s="3" t="n"/>
      <c r="AA73" s="3" t="n"/>
      <c r="AB73" s="3" t="n"/>
      <c r="AC73" s="3" t="n"/>
      <c r="AD73" s="21" t="n"/>
      <c r="AE73" s="21" t="n"/>
      <c r="AF73" s="21" t="n"/>
      <c r="AG73" s="3" t="n"/>
      <c r="AH73" s="21" t="n"/>
      <c r="AI73" s="21" t="n"/>
      <c r="AJ73" s="21" t="n"/>
    </row>
    <row r="74" ht="12.75" customHeight="1" s="38"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21" t="n"/>
      <c r="Z74" s="3" t="n"/>
      <c r="AA74" s="3" t="n"/>
      <c r="AB74" s="3" t="n"/>
      <c r="AC74" s="3" t="n"/>
      <c r="AD74" s="21" t="n"/>
      <c r="AE74" s="21" t="n"/>
      <c r="AF74" s="21" t="n"/>
      <c r="AG74" s="3" t="n"/>
      <c r="AH74" s="21" t="n"/>
      <c r="AI74" s="21" t="n"/>
      <c r="AJ74" s="21" t="n"/>
    </row>
    <row r="75" ht="12.75" customHeight="1" s="38"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21" t="n"/>
      <c r="Z75" s="3" t="n"/>
      <c r="AA75" s="3" t="n"/>
      <c r="AB75" s="3" t="n"/>
      <c r="AC75" s="3" t="n"/>
      <c r="AD75" s="21" t="n"/>
      <c r="AE75" s="21" t="n"/>
      <c r="AF75" s="21" t="n"/>
      <c r="AG75" s="3" t="n"/>
      <c r="AH75" s="21" t="n"/>
      <c r="AI75" s="21" t="n"/>
      <c r="AJ75" s="21" t="n"/>
    </row>
    <row r="76" ht="12.75" customHeight="1" s="38"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21" t="n"/>
      <c r="Z76" s="3" t="n"/>
      <c r="AA76" s="3" t="n"/>
      <c r="AB76" s="3" t="n"/>
      <c r="AC76" s="3" t="n"/>
      <c r="AD76" s="21" t="n"/>
      <c r="AE76" s="21" t="n"/>
      <c r="AF76" s="21" t="n"/>
      <c r="AG76" s="3" t="n"/>
      <c r="AH76" s="21" t="n"/>
      <c r="AI76" s="21" t="n"/>
      <c r="AJ76" s="21" t="n"/>
    </row>
    <row r="77" ht="12.75" customHeight="1" s="38"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21" t="n"/>
      <c r="Z77" s="3" t="n"/>
      <c r="AA77" s="3" t="n"/>
      <c r="AB77" s="3" t="n"/>
      <c r="AC77" s="3" t="n"/>
      <c r="AD77" s="21" t="n"/>
      <c r="AE77" s="21" t="n"/>
      <c r="AF77" s="21" t="n"/>
      <c r="AG77" s="3" t="n"/>
      <c r="AH77" s="21" t="n"/>
      <c r="AI77" s="21" t="n"/>
      <c r="AJ77" s="21" t="n"/>
    </row>
    <row r="78" ht="12.75" customHeight="1" s="38"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21" t="n"/>
      <c r="Z78" s="3" t="n"/>
      <c r="AA78" s="3" t="n"/>
      <c r="AB78" s="3" t="n"/>
      <c r="AC78" s="3" t="n"/>
      <c r="AD78" s="21" t="n"/>
      <c r="AE78" s="21" t="n"/>
      <c r="AF78" s="21" t="n"/>
      <c r="AG78" s="3" t="n"/>
      <c r="AH78" s="21" t="n"/>
      <c r="AI78" s="21" t="n"/>
      <c r="AJ78" s="21" t="n"/>
    </row>
    <row r="79" ht="12.75" customHeight="1" s="38"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21" t="n"/>
      <c r="Z79" s="3" t="n"/>
      <c r="AA79" s="3" t="n"/>
      <c r="AB79" s="3" t="n"/>
      <c r="AC79" s="3" t="n"/>
      <c r="AD79" s="21" t="n"/>
      <c r="AE79" s="21" t="n"/>
      <c r="AF79" s="21" t="n"/>
      <c r="AG79" s="3" t="n"/>
      <c r="AH79" s="21" t="n"/>
      <c r="AI79" s="21" t="n"/>
      <c r="AJ79" s="21" t="n"/>
    </row>
    <row r="80" ht="12.75" customHeight="1" s="38"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21" t="n"/>
      <c r="Z80" s="3" t="n"/>
      <c r="AA80" s="3" t="n"/>
      <c r="AB80" s="3" t="n"/>
      <c r="AC80" s="3" t="n"/>
      <c r="AD80" s="21" t="n"/>
      <c r="AE80" s="21" t="n"/>
      <c r="AF80" s="21" t="n"/>
      <c r="AG80" s="3" t="n"/>
      <c r="AH80" s="21" t="n"/>
      <c r="AI80" s="21" t="n"/>
      <c r="AJ80" s="21" t="n"/>
    </row>
    <row r="81" ht="12.75" customHeight="1" s="38"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21" t="n"/>
      <c r="Z81" s="3" t="n"/>
      <c r="AA81" s="3" t="n"/>
      <c r="AB81" s="3" t="n"/>
      <c r="AC81" s="3" t="n"/>
      <c r="AD81" s="21" t="n"/>
      <c r="AE81" s="21" t="n"/>
      <c r="AF81" s="21" t="n"/>
      <c r="AG81" s="3" t="n"/>
      <c r="AH81" s="21" t="n"/>
      <c r="AI81" s="21" t="n"/>
      <c r="AJ81" s="21" t="n"/>
    </row>
    <row r="82" ht="12.75" customHeight="1" s="38"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21" t="n"/>
      <c r="Z82" s="3" t="n"/>
      <c r="AA82" s="3" t="n"/>
      <c r="AB82" s="3" t="n"/>
      <c r="AC82" s="3" t="n"/>
      <c r="AD82" s="21" t="n"/>
      <c r="AE82" s="21" t="n"/>
      <c r="AF82" s="21" t="n"/>
      <c r="AG82" s="3" t="n"/>
      <c r="AH82" s="21" t="n"/>
      <c r="AI82" s="21" t="n"/>
      <c r="AJ82" s="21" t="n"/>
    </row>
    <row r="83" ht="12.75" customHeight="1" s="38"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21" t="n"/>
      <c r="Z83" s="3" t="n"/>
      <c r="AA83" s="3" t="n"/>
      <c r="AB83" s="3" t="n"/>
      <c r="AC83" s="3" t="n"/>
      <c r="AD83" s="21" t="n"/>
      <c r="AE83" s="21" t="n"/>
      <c r="AF83" s="21" t="n"/>
      <c r="AG83" s="3" t="n"/>
      <c r="AH83" s="21" t="n"/>
      <c r="AI83" s="21" t="n"/>
      <c r="AJ83" s="21" t="n"/>
    </row>
    <row r="84" ht="12.75" customHeight="1" s="38"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21" t="n"/>
      <c r="Z84" s="3" t="n"/>
      <c r="AA84" s="3" t="n"/>
      <c r="AB84" s="3" t="n"/>
      <c r="AC84" s="3" t="n"/>
      <c r="AD84" s="21" t="n"/>
      <c r="AE84" s="21" t="n"/>
      <c r="AF84" s="21" t="n"/>
      <c r="AG84" s="3" t="n"/>
      <c r="AH84" s="21" t="n"/>
      <c r="AI84" s="21" t="n"/>
      <c r="AJ84" s="21" t="n"/>
    </row>
    <row r="85" ht="12.75" customHeight="1" s="38"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21" t="n"/>
      <c r="Z85" s="3" t="n"/>
      <c r="AA85" s="3" t="n"/>
      <c r="AB85" s="3" t="n"/>
      <c r="AC85" s="3" t="n"/>
      <c r="AD85" s="21" t="n"/>
      <c r="AE85" s="21" t="n"/>
      <c r="AF85" s="21" t="n"/>
      <c r="AG85" s="3" t="n"/>
      <c r="AH85" s="21" t="n"/>
      <c r="AI85" s="21" t="n"/>
      <c r="AJ85" s="21" t="n"/>
    </row>
    <row r="86" ht="12.75" customHeight="1" s="38"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21" t="n"/>
      <c r="Z86" s="3" t="n"/>
      <c r="AA86" s="3" t="n"/>
      <c r="AB86" s="3" t="n"/>
      <c r="AC86" s="3" t="n"/>
      <c r="AD86" s="21" t="n"/>
      <c r="AE86" s="21" t="n"/>
      <c r="AF86" s="21" t="n"/>
      <c r="AG86" s="3" t="n"/>
      <c r="AH86" s="21" t="n"/>
      <c r="AI86" s="21" t="n"/>
      <c r="AJ86" s="21" t="n"/>
    </row>
    <row r="87" ht="12.75" customHeight="1" s="38"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21" t="n"/>
      <c r="Z87" s="3" t="n"/>
      <c r="AA87" s="3" t="n"/>
      <c r="AB87" s="3" t="n"/>
      <c r="AC87" s="3" t="n"/>
      <c r="AD87" s="21" t="n"/>
      <c r="AE87" s="21" t="n"/>
      <c r="AF87" s="21" t="n"/>
      <c r="AG87" s="3" t="n"/>
      <c r="AH87" s="21" t="n"/>
      <c r="AI87" s="21" t="n"/>
      <c r="AJ87" s="21" t="n"/>
    </row>
    <row r="88" ht="12.75" customHeight="1" s="38"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21" t="n"/>
      <c r="Z88" s="3" t="n"/>
      <c r="AA88" s="3" t="n"/>
      <c r="AB88" s="3" t="n"/>
      <c r="AC88" s="3" t="n"/>
      <c r="AD88" s="21" t="n"/>
      <c r="AE88" s="21" t="n"/>
      <c r="AF88" s="21" t="n"/>
      <c r="AG88" s="3" t="n"/>
      <c r="AH88" s="21" t="n"/>
      <c r="AI88" s="21" t="n"/>
      <c r="AJ88" s="21" t="n"/>
    </row>
    <row r="89" ht="12.75" customHeight="1" s="38"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21" t="n"/>
      <c r="Z89" s="3" t="n"/>
      <c r="AA89" s="3" t="n"/>
      <c r="AB89" s="3" t="n"/>
      <c r="AC89" s="3" t="n"/>
      <c r="AD89" s="21" t="n"/>
      <c r="AE89" s="21" t="n"/>
      <c r="AF89" s="21" t="n"/>
      <c r="AG89" s="3" t="n"/>
      <c r="AH89" s="21" t="n"/>
      <c r="AI89" s="21" t="n"/>
      <c r="AJ89" s="21" t="n"/>
    </row>
    <row r="90" ht="12.75" customHeight="1" s="38"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21" t="n"/>
      <c r="Z90" s="3" t="n"/>
      <c r="AA90" s="3" t="n"/>
      <c r="AB90" s="3" t="n"/>
      <c r="AC90" s="3" t="n"/>
      <c r="AD90" s="21" t="n"/>
      <c r="AE90" s="21" t="n"/>
      <c r="AF90" s="21" t="n"/>
      <c r="AG90" s="3" t="n"/>
      <c r="AH90" s="21" t="n"/>
      <c r="AI90" s="21" t="n"/>
      <c r="AJ90" s="21" t="n"/>
    </row>
    <row r="91" ht="12.75" customHeight="1" s="38"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21" t="n"/>
      <c r="Z91" s="3" t="n"/>
      <c r="AA91" s="3" t="n"/>
      <c r="AB91" s="3" t="n"/>
      <c r="AC91" s="3" t="n"/>
      <c r="AD91" s="21" t="n"/>
      <c r="AE91" s="21" t="n"/>
      <c r="AF91" s="21" t="n"/>
      <c r="AG91" s="3" t="n"/>
      <c r="AH91" s="21" t="n"/>
      <c r="AI91" s="21" t="n"/>
      <c r="AJ91" s="21" t="n"/>
    </row>
    <row r="92" ht="12.75" customHeight="1" s="38"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21" t="n"/>
      <c r="Z92" s="3" t="n"/>
      <c r="AA92" s="3" t="n"/>
      <c r="AB92" s="3" t="n"/>
      <c r="AC92" s="3" t="n"/>
      <c r="AD92" s="21" t="n"/>
      <c r="AE92" s="21" t="n"/>
      <c r="AF92" s="21" t="n"/>
      <c r="AG92" s="3" t="n"/>
      <c r="AH92" s="21" t="n"/>
      <c r="AI92" s="21" t="n"/>
      <c r="AJ92" s="21" t="n"/>
    </row>
    <row r="93" ht="12.75" customHeight="1" s="38"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21" t="n"/>
      <c r="Z93" s="3" t="n"/>
      <c r="AA93" s="3" t="n"/>
      <c r="AB93" s="3" t="n"/>
      <c r="AC93" s="3" t="n"/>
      <c r="AD93" s="21" t="n"/>
      <c r="AE93" s="21" t="n"/>
      <c r="AF93" s="21" t="n"/>
      <c r="AG93" s="3" t="n"/>
      <c r="AH93" s="21" t="n"/>
      <c r="AI93" s="21" t="n"/>
      <c r="AJ93" s="21" t="n"/>
    </row>
    <row r="94" ht="12.75" customHeight="1" s="38"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21" t="n"/>
      <c r="Z94" s="3" t="n"/>
      <c r="AA94" s="3" t="n"/>
      <c r="AB94" s="3" t="n"/>
      <c r="AC94" s="3" t="n"/>
      <c r="AD94" s="21" t="n"/>
      <c r="AE94" s="21" t="n"/>
      <c r="AF94" s="21" t="n"/>
      <c r="AG94" s="3" t="n"/>
      <c r="AH94" s="21" t="n"/>
      <c r="AI94" s="21" t="n"/>
      <c r="AJ94" s="21" t="n"/>
    </row>
    <row r="95" ht="12.75" customHeight="1" s="38"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21" t="n"/>
      <c r="Z95" s="3" t="n"/>
      <c r="AA95" s="3" t="n"/>
      <c r="AB95" s="3" t="n"/>
      <c r="AC95" s="3" t="n"/>
      <c r="AD95" s="21" t="n"/>
      <c r="AE95" s="21" t="n"/>
      <c r="AF95" s="21" t="n"/>
      <c r="AG95" s="3" t="n"/>
      <c r="AH95" s="21" t="n"/>
      <c r="AI95" s="21" t="n"/>
      <c r="AJ95" s="21" t="n"/>
    </row>
    <row r="96" ht="12.75" customHeight="1" s="38"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21" t="n"/>
      <c r="Z96" s="3" t="n"/>
      <c r="AA96" s="3" t="n"/>
      <c r="AB96" s="3" t="n"/>
      <c r="AC96" s="3" t="n"/>
      <c r="AD96" s="21" t="n"/>
      <c r="AE96" s="21" t="n"/>
      <c r="AF96" s="21" t="n"/>
      <c r="AG96" s="3" t="n"/>
      <c r="AH96" s="21" t="n"/>
      <c r="AI96" s="21" t="n"/>
      <c r="AJ96" s="21" t="n"/>
    </row>
    <row r="97" ht="12.75" customHeight="1" s="38"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21" t="n"/>
      <c r="Z97" s="3" t="n"/>
      <c r="AA97" s="3" t="n"/>
      <c r="AB97" s="3" t="n"/>
      <c r="AC97" s="3" t="n"/>
      <c r="AD97" s="21" t="n"/>
      <c r="AE97" s="21" t="n"/>
      <c r="AF97" s="21" t="n"/>
      <c r="AG97" s="3" t="n"/>
      <c r="AH97" s="21" t="n"/>
      <c r="AI97" s="21" t="n"/>
      <c r="AJ97" s="21" t="n"/>
    </row>
    <row r="98" ht="12.75" customHeight="1" s="38"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21" t="n"/>
      <c r="Z98" s="3" t="n"/>
      <c r="AA98" s="3" t="n"/>
      <c r="AB98" s="3" t="n"/>
      <c r="AC98" s="3" t="n"/>
      <c r="AD98" s="21" t="n"/>
      <c r="AE98" s="21" t="n"/>
      <c r="AF98" s="21" t="n"/>
      <c r="AG98" s="3" t="n"/>
      <c r="AH98" s="21" t="n"/>
      <c r="AI98" s="21" t="n"/>
      <c r="AJ98" s="21" t="n"/>
    </row>
    <row r="99" ht="12.75" customHeight="1" s="38"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21" t="n"/>
      <c r="Z99" s="3" t="n"/>
      <c r="AA99" s="3" t="n"/>
      <c r="AB99" s="3" t="n"/>
      <c r="AC99" s="3" t="n"/>
      <c r="AD99" s="21" t="n"/>
      <c r="AE99" s="21" t="n"/>
      <c r="AF99" s="21" t="n"/>
      <c r="AG99" s="3" t="n"/>
      <c r="AH99" s="21" t="n"/>
      <c r="AI99" s="21" t="n"/>
      <c r="AJ99" s="21" t="n"/>
    </row>
    <row r="100" ht="12.75" customHeight="1" s="38"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21" t="n"/>
      <c r="Z100" s="3" t="n"/>
      <c r="AA100" s="3" t="n"/>
      <c r="AB100" s="3" t="n"/>
      <c r="AC100" s="3" t="n"/>
      <c r="AD100" s="21" t="n"/>
      <c r="AE100" s="21" t="n"/>
      <c r="AF100" s="21" t="n"/>
      <c r="AG100" s="3" t="n"/>
      <c r="AH100" s="21" t="n"/>
      <c r="AI100" s="21" t="n"/>
      <c r="AJ100" s="21" t="n"/>
    </row>
  </sheetData>
  <mergeCells count="2">
    <mergeCell ref="B34:F34"/>
    <mergeCell ref="A1:A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J1000"/>
  <sheetViews>
    <sheetView tabSelected="1" topLeftCell="K1" workbookViewId="0">
      <selection activeCell="P27" sqref="P27"/>
    </sheetView>
  </sheetViews>
  <sheetFormatPr baseColWidth="8" defaultColWidth="12.5703125" defaultRowHeight="15.75" customHeight="1"/>
  <cols>
    <col width="41.5703125" customWidth="1" style="38" min="2" max="2"/>
    <col width="23.7109375" customWidth="1" style="38" min="3" max="3"/>
    <col width="23" customWidth="1" style="38" min="4" max="4"/>
    <col width="24.42578125" customWidth="1" style="38" min="5" max="5"/>
    <col width="22.7109375" customWidth="1" style="38" min="6" max="6"/>
    <col width="22.42578125" customWidth="1" style="38" min="17" max="17"/>
    <col width="15.42578125" customWidth="1" style="38" min="20" max="20"/>
    <col width="20" customWidth="1" style="38" min="25" max="25"/>
    <col width="14.85546875" customWidth="1" style="38" min="31" max="31"/>
    <col width="15.5703125" customWidth="1" style="38" min="32" max="32"/>
  </cols>
  <sheetData>
    <row r="1" ht="38.25" customHeight="1" s="38">
      <c r="A1" s="50" t="n">
        <v>46174</v>
      </c>
    </row>
    <row r="2" ht="51" customHeight="1" s="38">
      <c r="A2" s="2" t="inlineStr">
        <is>
          <t>Ngày</t>
        </is>
      </c>
      <c r="B2" s="2" t="inlineStr">
        <is>
          <t>Temp_t (°C)</t>
        </is>
      </c>
      <c r="C2" s="2" t="inlineStr">
        <is>
          <t>Rain_t (mm)</t>
        </is>
      </c>
      <c r="D2" s="2" t="inlineStr">
        <is>
          <t>Ripe_t (%)</t>
        </is>
      </c>
      <c r="E2" s="2" t="inlineStr">
        <is>
          <t>Order_t (Tấn)</t>
        </is>
      </c>
      <c r="F2" s="2" t="inlineStr">
        <is>
          <t>PeakDay_t (0/1)</t>
        </is>
      </c>
      <c r="G2" s="2" t="inlineStr">
        <is>
          <t>Sản lượng thu hoạch (Tấn)</t>
        </is>
      </c>
      <c r="H2" s="2" t="inlineStr">
        <is>
          <t>Sản lượng đi xe lạnh (Tấn)</t>
        </is>
      </c>
      <c r="I2" s="2" t="inlineStr">
        <is>
          <t>Nhiệt độ yêu cầu (°C)</t>
        </is>
      </c>
      <c r="J2" s="2" t="inlineStr">
        <is>
          <t>Số xe yêu cầu</t>
        </is>
      </c>
      <c r="K2" s="2" t="inlineStr">
        <is>
          <t>Dự báo T+7 (Tấn)</t>
        </is>
      </c>
      <c r="L2" s="2" t="inlineStr">
        <is>
          <t>Dự báo T+3 (Tấn)</t>
        </is>
      </c>
      <c r="M2" s="2" t="inlineStr">
        <is>
          <t>Dự báo T+1 (Tấn)</t>
        </is>
      </c>
      <c r="N2" s="2" t="inlineStr">
        <is>
          <t>Nhu cầu xe FrostLink (18T)</t>
        </is>
      </c>
      <c r="O2" s="2" t="inlineStr">
        <is>
          <t>Lớp 1 - Cam kết cứng (70%)</t>
        </is>
      </c>
      <c r="P2" s="2" t="inlineStr">
        <is>
          <t>Lớp 2 - Quyền chọn linh hoạt (20%)</t>
        </is>
      </c>
      <c r="Q2" s="2" t="inlineStr">
        <is>
          <t>Trạng thái Lớp 2 (Hủy khi Mưa &gt; 20mm)</t>
        </is>
      </c>
      <c r="R2" s="2" t="inlineStr">
        <is>
          <t>Lớp 2 - Thực chạy</t>
        </is>
      </c>
      <c r="S2" s="2" t="inlineStr">
        <is>
          <t>Chi phí phạt cọc Lớp 2 (VNĐ)</t>
        </is>
      </c>
      <c r="T2" s="2" t="inlineStr">
        <is>
          <t>Lớp 3 - Giao ngay (Bù thực tế)</t>
        </is>
      </c>
      <c r="U2" s="2" t="inlineStr">
        <is>
          <t>Tổng số xe FrostLink thực chạy</t>
        </is>
      </c>
      <c r="V2" s="2" t="inlineStr">
        <is>
          <t>Số xe sẵn có</t>
        </is>
      </c>
      <c r="W2" s="6" t="inlineStr">
        <is>
          <t>Nhiệt độ xe sẵn có (°C)</t>
        </is>
      </c>
      <c r="X2" s="2" t="inlineStr">
        <is>
          <t>Thời gian tìm xe (Giờ)</t>
        </is>
      </c>
      <c r="Y2" s="2" t="inlineStr">
        <is>
          <t>Giá chốt xe (VNĐ)</t>
        </is>
      </c>
      <c r="Z2" s="2" t="inlineStr">
        <is>
          <t>Tỷ lệ hư hỏng (%)</t>
        </is>
      </c>
      <c r="AA2" s="2" t="inlineStr">
        <is>
          <t>Baseline (Dự báo thủ công)</t>
        </is>
      </c>
      <c r="AB2" s="2" t="inlineStr">
        <is>
          <t>Baseline - Sai số xe</t>
        </is>
      </c>
      <c r="AC2" s="2" t="inlineStr">
        <is>
          <t>Kiểm định nhiệt độ</t>
        </is>
      </c>
      <c r="AD2" s="2" t="inlineStr">
        <is>
          <t>Baseline - C_over (VNĐ)</t>
        </is>
      </c>
      <c r="AE2" s="2" t="inlineStr">
        <is>
          <t>Baseline - C_under (VNĐ)</t>
        </is>
      </c>
      <c r="AF2" s="2" t="inlineStr">
        <is>
          <t>Baseline - Tổng chi phí rủi ro (VNĐ)</t>
        </is>
      </c>
      <c r="AG2" s="2" t="inlineStr">
        <is>
          <t>FrostLink - Sai số xe</t>
        </is>
      </c>
      <c r="AH2" s="2" t="inlineStr">
        <is>
          <t>FrostLink - C_over (VNĐ)</t>
        </is>
      </c>
      <c r="AI2" s="2" t="inlineStr">
        <is>
          <t>FrostLink - C_under (VNĐ)</t>
        </is>
      </c>
      <c r="AJ2" s="2" t="inlineStr">
        <is>
          <t>FrostLink - Tổng chi phí rủi ro (VNĐ)</t>
        </is>
      </c>
    </row>
    <row r="3" ht="14.25" customHeight="1" s="38">
      <c r="A3" s="7" t="inlineStr">
        <is>
          <t>Ngày 01</t>
        </is>
      </c>
      <c r="B3" s="7" t="n">
        <v>36</v>
      </c>
      <c r="C3" s="7" t="n">
        <v>0</v>
      </c>
      <c r="D3" s="8" t="n">
        <v>0.35</v>
      </c>
      <c r="E3" s="7" t="n">
        <v>22</v>
      </c>
      <c r="F3" s="7" t="n">
        <v>0</v>
      </c>
      <c r="G3" s="7" t="n">
        <v>20</v>
      </c>
      <c r="H3" s="51">
        <f>G3*IF(F3=1, 0.85, 0.8)</f>
        <v/>
      </c>
      <c r="I3" s="12" t="inlineStr">
        <is>
          <t>2-4</t>
        </is>
      </c>
      <c r="J3" s="7">
        <f>ROUNDUP(H3/17.2, 0)</f>
        <v/>
      </c>
      <c r="K3" s="51">
        <f>ROUND(TREND(G$3:G$32, E$3:E$32, E3), 1)</f>
        <v/>
      </c>
      <c r="L3" s="51">
        <f>ROUND(TREND(G$3:G$32, B$3:E$32, B3:E3), 1)</f>
        <v/>
      </c>
      <c r="M3" s="51">
        <f>ROUND(TREND(G$3:G$32, B$3:F$32, B3:F3), 1)</f>
        <v/>
      </c>
      <c r="N3" s="7">
        <f>ROUNDUP(M3*IF(F3=1, 0.85, 0.8)/17.2, 0)</f>
        <v/>
      </c>
      <c r="O3" s="7">
        <f>ROUND(N3*70%, 0)</f>
        <v/>
      </c>
      <c r="P3" s="7">
        <f>MIN(ROUNDUP(N3*0.2, 0), MAX(0, N3 - O3))</f>
        <v/>
      </c>
      <c r="Q3" s="7">
        <f>IF(C3&gt;20, "Hủy slot (Mưa &gt; 20mm)", "Kích hoạt")</f>
        <v/>
      </c>
      <c r="R3" s="7">
        <f>IF(C3&gt;20, 0, P3)</f>
        <v/>
      </c>
      <c r="S3" s="52">
        <f>IF(C3&gt;20, P3*0.2*Y3, 0)</f>
        <v/>
      </c>
      <c r="T3" s="7">
        <f>MAX(0, J3 - O3 - R3)</f>
        <v/>
      </c>
      <c r="U3" s="7">
        <f>O3 + R3 + T3</f>
        <v/>
      </c>
      <c r="V3" s="7" t="n">
        <v>15</v>
      </c>
      <c r="W3" s="12" t="inlineStr">
        <is>
          <t>2-4</t>
        </is>
      </c>
      <c r="X3" s="7" t="n">
        <v>2</v>
      </c>
      <c r="Y3" s="53">
        <f>IF(OR(B3&gt;=34, F3=1), 11700000, 9000000)</f>
        <v/>
      </c>
      <c r="Z3" s="54" t="n">
        <v>2</v>
      </c>
      <c r="AA3" s="55" t="n"/>
      <c r="AB3" s="55" t="n"/>
      <c r="AC3" s="7">
        <f>IF(OR(W3="8-10 (Lỗi)", W3="5-8 (Lỗi)"), "Loại", "Hợp lệ")</f>
        <v/>
      </c>
      <c r="AD3" s="53">
        <f>IF(AA3="", 0, IF(AA3&gt;J3, (AA3-J3)*2700000, 0))</f>
        <v/>
      </c>
      <c r="AE3" s="53">
        <f>IF(AA3="", 0, IF(J3&gt;AA3, (J3-AA3)*6000000, 0))</f>
        <v/>
      </c>
      <c r="AF3" s="53">
        <f>AD3 + AE3</f>
        <v/>
      </c>
      <c r="AG3" s="7">
        <f>ABS(U3 - J3)</f>
        <v/>
      </c>
      <c r="AH3" s="53">
        <f>IF(U3&gt;J3, (U3-J3)*2700000, 0)</f>
        <v/>
      </c>
      <c r="AI3" s="53">
        <f>IF(J3&gt;U3, (J3-U3)*6000000, 0)</f>
        <v/>
      </c>
      <c r="AJ3" s="53">
        <f>AH3 + AI3 + S3</f>
        <v/>
      </c>
    </row>
    <row r="4" ht="14.25" customHeight="1" s="38">
      <c r="A4" s="7" t="inlineStr">
        <is>
          <t>Ngày 02</t>
        </is>
      </c>
      <c r="B4" s="7" t="n">
        <v>36</v>
      </c>
      <c r="C4" s="7" t="n">
        <v>0</v>
      </c>
      <c r="D4" s="8" t="n">
        <v>0.5</v>
      </c>
      <c r="E4" s="7" t="n">
        <v>28</v>
      </c>
      <c r="F4" s="7" t="n">
        <v>0</v>
      </c>
      <c r="G4" s="7" t="n">
        <v>25</v>
      </c>
      <c r="H4" s="51">
        <f>G4*IF(F4=1, 0.85, 0.8)</f>
        <v/>
      </c>
      <c r="I4" s="12" t="inlineStr">
        <is>
          <t>2-4</t>
        </is>
      </c>
      <c r="J4" s="7">
        <f>ROUNDUP(H4/17.2, 0)</f>
        <v/>
      </c>
      <c r="K4" s="51">
        <f>ROUND(TREND(G$3:G$32, E$3:E$32, E4), 1)</f>
        <v/>
      </c>
      <c r="L4" s="51">
        <f>ROUND(TREND(G$3:G$32, B$3:E$32, B4:E4), 1)</f>
        <v/>
      </c>
      <c r="M4" s="51">
        <f>ROUND(TREND(G$3:G$32, B$3:F$32, B4:F4), 1)</f>
        <v/>
      </c>
      <c r="N4" s="7">
        <f>ROUNDUP(M4*IF(F4=1, 0.85, 0.8)/17.2, 0)</f>
        <v/>
      </c>
      <c r="O4" s="7">
        <f>ROUND(N4*70%, 0)</f>
        <v/>
      </c>
      <c r="P4" s="7">
        <f>MIN(ROUNDUP(N4*0.2, 0), MAX(0, N4 - O4))</f>
        <v/>
      </c>
      <c r="Q4" s="7">
        <f>IF(C4&gt;20, "Hủy slot (Mưa &gt; 20mm)", "Kích hoạt")</f>
        <v/>
      </c>
      <c r="R4" s="7">
        <f>IF(C4&gt;20, 0, P4)</f>
        <v/>
      </c>
      <c r="S4" s="52">
        <f>IF(C4&gt;20, P4*0.2*Y4, 0)</f>
        <v/>
      </c>
      <c r="T4" s="7">
        <f>MAX(0, J4 - O4 - R4)</f>
        <v/>
      </c>
      <c r="U4" s="7">
        <f>O4 + R4 + T4</f>
        <v/>
      </c>
      <c r="V4" s="7" t="n">
        <v>14</v>
      </c>
      <c r="W4" s="12" t="inlineStr">
        <is>
          <t>2-4</t>
        </is>
      </c>
      <c r="X4" s="7" t="n">
        <v>2</v>
      </c>
      <c r="Y4" s="53">
        <f>IF(OR(B4&gt;=34, F4=1), 11700000, 9000000)</f>
        <v/>
      </c>
      <c r="Z4" s="54" t="n">
        <v>2</v>
      </c>
      <c r="AA4" s="55" t="n"/>
      <c r="AB4" s="55" t="n"/>
      <c r="AC4" s="7">
        <f>IF(OR(W4="8-10 (Lỗi)", W4="5-8 (Lỗi)"), "Loại", "Hợp lệ")</f>
        <v/>
      </c>
      <c r="AD4" s="53">
        <f>IF(AA4="", 0, IF(AA4&gt;J4, (AA4-J4)*2700000, 0))</f>
        <v/>
      </c>
      <c r="AE4" s="53">
        <f>IF(AA4="", 0, IF(J4&gt;AA4, (J4-AA4)*6000000, 0))</f>
        <v/>
      </c>
      <c r="AF4" s="53">
        <f>AD4 + AE4</f>
        <v/>
      </c>
      <c r="AG4" s="7">
        <f>ABS(U4 - J4)</f>
        <v/>
      </c>
      <c r="AH4" s="53">
        <f>IF(U4&gt;J4, (U4-J4)*2700000, 0)</f>
        <v/>
      </c>
      <c r="AI4" s="53">
        <f>IF(J4&gt;U4, (J4-U4)*6000000, 0)</f>
        <v/>
      </c>
      <c r="AJ4" s="53">
        <f>AH4 + AI4 + S4</f>
        <v/>
      </c>
    </row>
    <row r="5" ht="14.25" customHeight="1" s="38">
      <c r="A5" s="7" t="inlineStr">
        <is>
          <t>Ngày 03</t>
        </is>
      </c>
      <c r="B5" s="7" t="n">
        <v>36</v>
      </c>
      <c r="C5" s="7" t="n">
        <v>0</v>
      </c>
      <c r="D5" s="8" t="n">
        <v>0.65</v>
      </c>
      <c r="E5" s="7" t="n">
        <v>35</v>
      </c>
      <c r="F5" s="7" t="n">
        <v>0</v>
      </c>
      <c r="G5" s="7" t="n">
        <v>15</v>
      </c>
      <c r="H5" s="51">
        <f>G5*IF(F5=1, 0.85, 0.8)</f>
        <v/>
      </c>
      <c r="I5" s="12" t="inlineStr">
        <is>
          <t>2-4</t>
        </is>
      </c>
      <c r="J5" s="7">
        <f>ROUNDUP(H5/17.2, 0)</f>
        <v/>
      </c>
      <c r="K5" s="51">
        <f>ROUND(TREND(G$3:G$32, E$3:E$32, E5), 1)</f>
        <v/>
      </c>
      <c r="L5" s="51">
        <f>ROUND(TREND(G$3:G$32, B$3:E$32, B5:E5), 1)</f>
        <v/>
      </c>
      <c r="M5" s="51">
        <f>ROUND(TREND(G$3:G$32, B$3:F$32, B5:F5), 1)</f>
        <v/>
      </c>
      <c r="N5" s="7">
        <f>ROUNDUP(M5*IF(F5=1, 0.85, 0.8)/17.2, 0)</f>
        <v/>
      </c>
      <c r="O5" s="7">
        <f>ROUND(N5*70%, 0)</f>
        <v/>
      </c>
      <c r="P5" s="7">
        <f>MIN(ROUNDUP(N5*0.2, 0), MAX(0, N5 - O5))</f>
        <v/>
      </c>
      <c r="Q5" s="7">
        <f>IF(C5&gt;20, "Hủy slot (Mưa &gt; 20mm)", "Kích hoạt")</f>
        <v/>
      </c>
      <c r="R5" s="7">
        <f>IF(C5&gt;20, 0, P5)</f>
        <v/>
      </c>
      <c r="S5" s="52">
        <f>IF(C5&gt;20, P5*0.2*Y5, 0)</f>
        <v/>
      </c>
      <c r="T5" s="7">
        <f>MAX(0, J5 - O5 - R5)</f>
        <v/>
      </c>
      <c r="U5" s="7">
        <f>O5 + R5 + T5</f>
        <v/>
      </c>
      <c r="V5" s="7" t="n">
        <v>15</v>
      </c>
      <c r="W5" s="12" t="inlineStr">
        <is>
          <t>2-4</t>
        </is>
      </c>
      <c r="X5" s="7" t="n">
        <v>1</v>
      </c>
      <c r="Y5" s="53">
        <f>IF(OR(B5&gt;=34, F5=1), 11700000, 9000000)</f>
        <v/>
      </c>
      <c r="Z5" s="54" t="n">
        <v>1</v>
      </c>
      <c r="AA5" s="55" t="n"/>
      <c r="AB5" s="55" t="n"/>
      <c r="AC5" s="7">
        <f>IF(OR(W5="8-10 (Lỗi)", W5="5-8 (Lỗi)"), "Loại", "Hợp lệ")</f>
        <v/>
      </c>
      <c r="AD5" s="53">
        <f>IF(AA5="", 0, IF(AA5&gt;J5, (AA5-J5)*2700000, 0))</f>
        <v/>
      </c>
      <c r="AE5" s="53">
        <f>IF(AA5="", 0, IF(J5&gt;AA5, (J5-AA5)*6000000, 0))</f>
        <v/>
      </c>
      <c r="AF5" s="53">
        <f>AD5 + AE5</f>
        <v/>
      </c>
      <c r="AG5" s="7">
        <f>ABS(U5 - J5)</f>
        <v/>
      </c>
      <c r="AH5" s="53">
        <f>IF(U5&gt;J5, (U5-J5)*2700000, 0)</f>
        <v/>
      </c>
      <c r="AI5" s="53">
        <f>IF(J5&gt;U5, (J5-U5)*6000000, 0)</f>
        <v/>
      </c>
      <c r="AJ5" s="53">
        <f>AH5 + AI5 + S5</f>
        <v/>
      </c>
    </row>
    <row r="6" ht="14.25" customHeight="1" s="38">
      <c r="A6" s="7" t="inlineStr">
        <is>
          <t>Ngày 04</t>
        </is>
      </c>
      <c r="B6" s="7" t="n">
        <v>33</v>
      </c>
      <c r="C6" s="7" t="n">
        <v>0</v>
      </c>
      <c r="D6" s="8" t="n">
        <v>0.75</v>
      </c>
      <c r="E6" s="7" t="n">
        <v>30</v>
      </c>
      <c r="F6" s="7" t="n">
        <v>0</v>
      </c>
      <c r="G6" s="7" t="n">
        <v>30</v>
      </c>
      <c r="H6" s="51">
        <f>G6*IF(F6=1, 0.85, 0.8)</f>
        <v/>
      </c>
      <c r="I6" s="12" t="inlineStr">
        <is>
          <t>2-4</t>
        </is>
      </c>
      <c r="J6" s="7">
        <f>ROUNDUP(H6/17.2, 0)</f>
        <v/>
      </c>
      <c r="K6" s="51">
        <f>ROUND(TREND(G$3:G$32, E$3:E$32, E6), 1)</f>
        <v/>
      </c>
      <c r="L6" s="51">
        <f>ROUND(TREND(G$3:G$32, B$3:E$32, B6:E6), 1)</f>
        <v/>
      </c>
      <c r="M6" s="51">
        <f>ROUND(TREND(G$3:G$32, B$3:F$32, B6:F6), 1)</f>
        <v/>
      </c>
      <c r="N6" s="7">
        <f>ROUNDUP(M6*IF(F6=1, 0.85, 0.8)/17.2, 0)</f>
        <v/>
      </c>
      <c r="O6" s="7">
        <f>ROUND(N6*70%, 0)</f>
        <v/>
      </c>
      <c r="P6" s="7">
        <f>MIN(ROUNDUP(N6*0.2, 0), MAX(0, N6 - O6))</f>
        <v/>
      </c>
      <c r="Q6" s="7">
        <f>IF(C6&gt;20, "Hủy slot (Mưa &gt; 20mm)", "Kích hoạt")</f>
        <v/>
      </c>
      <c r="R6" s="7">
        <f>IF(C6&gt;20, 0, P6)</f>
        <v/>
      </c>
      <c r="S6" s="52">
        <f>IF(C6&gt;20, P6*0.2*Y6, 0)</f>
        <v/>
      </c>
      <c r="T6" s="7">
        <f>MAX(0, J6 - O6 - R6)</f>
        <v/>
      </c>
      <c r="U6" s="7">
        <f>O6 + R6 + T6</f>
        <v/>
      </c>
      <c r="V6" s="7" t="n">
        <v>13</v>
      </c>
      <c r="W6" s="12" t="inlineStr">
        <is>
          <t>2-4</t>
        </is>
      </c>
      <c r="X6" s="7" t="n">
        <v>2</v>
      </c>
      <c r="Y6" s="53">
        <f>IF(OR(B6&gt;=34, F6=1), 11700000, 9000000)</f>
        <v/>
      </c>
      <c r="Z6" s="54" t="n">
        <v>2</v>
      </c>
      <c r="AA6" s="51">
        <f>AVERAGE(J3:J5)</f>
        <v/>
      </c>
      <c r="AB6" s="51">
        <f>ABS(J6 - AA6)</f>
        <v/>
      </c>
      <c r="AC6" s="7">
        <f>IF(OR(W6="8-10 (Lỗi)", W6="5-8 (Lỗi)"), "Loại", "Hợp lệ")</f>
        <v/>
      </c>
      <c r="AD6" s="53">
        <f>IF(AA6="", 0, IF(AA6&gt;J6, (AA6-J6)*2700000, 0))</f>
        <v/>
      </c>
      <c r="AE6" s="53">
        <f>IF(AA6="", 0, IF(J6&gt;AA6, (J6-AA6)*6000000, 0))</f>
        <v/>
      </c>
      <c r="AF6" s="53">
        <f>AD6 + AE6</f>
        <v/>
      </c>
      <c r="AG6" s="7">
        <f>ABS(U6 - J6)</f>
        <v/>
      </c>
      <c r="AH6" s="53">
        <f>IF(U6&gt;J6, (U6-J6)*2700000, 0)</f>
        <v/>
      </c>
      <c r="AI6" s="53">
        <f>IF(J6&gt;U6, (J6-U6)*6000000, 0)</f>
        <v/>
      </c>
      <c r="AJ6" s="53">
        <f>AH6 + AI6 + S6</f>
        <v/>
      </c>
    </row>
    <row r="7" ht="14.25" customHeight="1" s="38">
      <c r="A7" s="7" t="inlineStr">
        <is>
          <t>Ngày 05</t>
        </is>
      </c>
      <c r="B7" s="7" t="n">
        <v>30</v>
      </c>
      <c r="C7" s="7" t="n">
        <v>20</v>
      </c>
      <c r="D7" s="8" t="n">
        <v>0.8</v>
      </c>
      <c r="E7" s="7" t="n">
        <v>18</v>
      </c>
      <c r="F7" s="7" t="n">
        <v>1</v>
      </c>
      <c r="G7" s="7" t="n">
        <v>35</v>
      </c>
      <c r="H7" s="51">
        <f>G7*IF(F7=1, 0.85, 0.8)</f>
        <v/>
      </c>
      <c r="I7" s="12" t="inlineStr">
        <is>
          <t>2-4</t>
        </is>
      </c>
      <c r="J7" s="7">
        <f>ROUNDUP(H7/17.2, 0)</f>
        <v/>
      </c>
      <c r="K7" s="51">
        <f>ROUND(TREND(G$3:G$32, E$3:E$32, E7), 1)</f>
        <v/>
      </c>
      <c r="L7" s="51">
        <f>ROUND(TREND(G$3:G$32, B$3:E$32, B7:E7), 1)</f>
        <v/>
      </c>
      <c r="M7" s="51">
        <f>ROUND(TREND(G$3:G$32, B$3:F$32, B7:F7), 1)</f>
        <v/>
      </c>
      <c r="N7" s="7">
        <f>ROUNDUP(M7*IF(F7=1, 0.85, 0.8)/17.2, 0)</f>
        <v/>
      </c>
      <c r="O7" s="7">
        <f>ROUND(N7*70%, 0)</f>
        <v/>
      </c>
      <c r="P7" s="7">
        <f>MIN(ROUNDUP(N7*0.2, 0), MAX(0, N7 - O7))</f>
        <v/>
      </c>
      <c r="Q7" s="7">
        <f>IF(C7&gt;20, "Hủy slot (Mưa &gt; 20mm)", "Kích hoạt")</f>
        <v/>
      </c>
      <c r="R7" s="7">
        <f>IF(C7&gt;20, 0, P7)</f>
        <v/>
      </c>
      <c r="S7" s="52">
        <f>IF(C7&gt;20, P7*0.2*Y7, 0)</f>
        <v/>
      </c>
      <c r="T7" s="7">
        <f>MAX(0, J7 - O7 - R7)</f>
        <v/>
      </c>
      <c r="U7" s="7">
        <f>O7 + R7 + T7</f>
        <v/>
      </c>
      <c r="V7" s="7" t="n">
        <v>10</v>
      </c>
      <c r="W7" s="12" t="inlineStr">
        <is>
          <t>2-4</t>
        </is>
      </c>
      <c r="X7" s="7" t="n">
        <v>3</v>
      </c>
      <c r="Y7" s="53">
        <f>IF(OR(B7&gt;=34, F7=1), 11700000, 9000000)</f>
        <v/>
      </c>
      <c r="Z7" s="54" t="n">
        <v>3</v>
      </c>
      <c r="AA7" s="51">
        <f>AVERAGE(J4:J6)</f>
        <v/>
      </c>
      <c r="AB7" s="51">
        <f>ABS(J7 - AA7)</f>
        <v/>
      </c>
      <c r="AC7" s="7">
        <f>IF(OR(W7="8-10 (Lỗi)", W7="5-8 (Lỗi)"), "Loại", "Hợp lệ")</f>
        <v/>
      </c>
      <c r="AD7" s="53">
        <f>IF(AA7="", 0, IF(AA7&gt;J7, (AA7-J7)*2700000, 0))</f>
        <v/>
      </c>
      <c r="AE7" s="53">
        <f>IF(AA7="", 0, IF(J7&gt;AA7, (J7-AA7)*6000000, 0))</f>
        <v/>
      </c>
      <c r="AF7" s="53">
        <f>AD7 + AE7</f>
        <v/>
      </c>
      <c r="AG7" s="7">
        <f>ABS(U7 - J7)</f>
        <v/>
      </c>
      <c r="AH7" s="53">
        <f>IF(U7&gt;J7, (U7-J7)*2700000, 0)</f>
        <v/>
      </c>
      <c r="AI7" s="53">
        <f>IF(J7&gt;U7, (J7-U7)*6000000, 0)</f>
        <v/>
      </c>
      <c r="AJ7" s="53">
        <f>AH7 + AI7 + S7</f>
        <v/>
      </c>
    </row>
    <row r="8" ht="14.25" customHeight="1" s="38">
      <c r="A8" s="7" t="inlineStr">
        <is>
          <t>Ngày 06</t>
        </is>
      </c>
      <c r="B8" s="7" t="n">
        <v>34</v>
      </c>
      <c r="C8" s="7" t="n">
        <v>0</v>
      </c>
      <c r="D8" s="8" t="n">
        <v>0.88</v>
      </c>
      <c r="E8" s="7" t="n">
        <v>42</v>
      </c>
      <c r="F8" s="7" t="n">
        <v>1</v>
      </c>
      <c r="G8" s="7" t="n">
        <v>45</v>
      </c>
      <c r="H8" s="51">
        <f>G8*IF(F8=1, 0.85, 0.8)</f>
        <v/>
      </c>
      <c r="I8" s="12" t="inlineStr">
        <is>
          <t>2-4</t>
        </is>
      </c>
      <c r="J8" s="7">
        <f>ROUNDUP(H8/17.2, 0)</f>
        <v/>
      </c>
      <c r="K8" s="51">
        <f>ROUND(TREND(G$3:G$32, E$3:E$32, E8), 1)</f>
        <v/>
      </c>
      <c r="L8" s="51">
        <f>ROUND(TREND(G$3:G$32, B$3:E$32, B8:E8), 1)</f>
        <v/>
      </c>
      <c r="M8" s="51">
        <f>ROUND(TREND(G$3:G$32, B$3:F$32, B8:F8), 1)</f>
        <v/>
      </c>
      <c r="N8" s="7">
        <f>ROUNDUP(M8*IF(F8=1, 0.85, 0.8)/17.2, 0)</f>
        <v/>
      </c>
      <c r="O8" s="7">
        <f>ROUND(N8*70%, 0)</f>
        <v/>
      </c>
      <c r="P8" s="7">
        <f>MIN(ROUNDUP(N8*0.2, 0), MAX(0, N8 - O8))</f>
        <v/>
      </c>
      <c r="Q8" s="7">
        <f>IF(C8&gt;20, "Hủy slot (Mưa &gt; 20mm)", "Kích hoạt")</f>
        <v/>
      </c>
      <c r="R8" s="7">
        <f>IF(C8&gt;20, 0, P8)</f>
        <v/>
      </c>
      <c r="S8" s="52">
        <f>IF(C8&gt;20, P8*0.2*Y8, 0)</f>
        <v/>
      </c>
      <c r="T8" s="7">
        <f>MAX(0, J8 - O8 - R8)</f>
        <v/>
      </c>
      <c r="U8" s="7">
        <f>O8 + R8 + T8</f>
        <v/>
      </c>
      <c r="V8" s="7" t="n">
        <v>9</v>
      </c>
      <c r="W8" s="12" t="inlineStr">
        <is>
          <t>2-4</t>
        </is>
      </c>
      <c r="X8" s="7" t="n">
        <v>6</v>
      </c>
      <c r="Y8" s="53">
        <f>IF(OR(B8&gt;=34, F8=1), 11700000, 9000000)</f>
        <v/>
      </c>
      <c r="Z8" s="54" t="n">
        <v>5</v>
      </c>
      <c r="AA8" s="51">
        <f>AVERAGE(J5:J7)</f>
        <v/>
      </c>
      <c r="AB8" s="51">
        <f>ABS(J8 - AA8)</f>
        <v/>
      </c>
      <c r="AC8" s="7">
        <f>IF(OR(W8="8-10 (Lỗi)", W8="5-8 (Lỗi)"), "Loại", "Hợp lệ")</f>
        <v/>
      </c>
      <c r="AD8" s="53">
        <f>IF(AA8="", 0, IF(AA8&gt;J8, (AA8-J8)*2700000, 0))</f>
        <v/>
      </c>
      <c r="AE8" s="53">
        <f>IF(AA8="", 0, IF(J8&gt;AA8, (J8-AA8)*6000000, 0))</f>
        <v/>
      </c>
      <c r="AF8" s="53">
        <f>AD8 + AE8</f>
        <v/>
      </c>
      <c r="AG8" s="7">
        <f>ABS(U8 - J8)</f>
        <v/>
      </c>
      <c r="AH8" s="53">
        <f>IF(U8&gt;J8, (U8-J8)*2700000, 0)</f>
        <v/>
      </c>
      <c r="AI8" s="53">
        <f>IF(J8&gt;U8, (J8-U8)*6000000, 0)</f>
        <v/>
      </c>
      <c r="AJ8" s="53">
        <f>AH8 + AI8 + S8</f>
        <v/>
      </c>
    </row>
    <row r="9" ht="14.25" customHeight="1" s="38">
      <c r="A9" s="7" t="inlineStr">
        <is>
          <t>Ngày 07</t>
        </is>
      </c>
      <c r="B9" s="7" t="n">
        <v>37</v>
      </c>
      <c r="C9" s="7" t="n">
        <v>0</v>
      </c>
      <c r="D9" s="8" t="n">
        <v>0.95</v>
      </c>
      <c r="E9" s="7" t="n">
        <v>65</v>
      </c>
      <c r="F9" s="7" t="n">
        <v>0</v>
      </c>
      <c r="G9" s="7" t="n">
        <v>65</v>
      </c>
      <c r="H9" s="51">
        <f>G9*IF(F9=1, 0.85, 0.8)</f>
        <v/>
      </c>
      <c r="I9" s="12" t="inlineStr">
        <is>
          <t>2-4</t>
        </is>
      </c>
      <c r="J9" s="7">
        <f>ROUNDUP(H9/17.2, 0)</f>
        <v/>
      </c>
      <c r="K9" s="51">
        <f>ROUND(TREND(G$3:G$32, E$3:E$32, E9), 1)</f>
        <v/>
      </c>
      <c r="L9" s="51">
        <f>ROUND(TREND(G$3:G$32, B$3:E$32, B9:E9), 1)</f>
        <v/>
      </c>
      <c r="M9" s="51">
        <f>ROUND(TREND(G$3:G$32, B$3:F$32, B9:F9), 1)</f>
        <v/>
      </c>
      <c r="N9" s="7">
        <f>ROUNDUP(M9*IF(F9=1, 0.85, 0.8)/17.2, 0)</f>
        <v/>
      </c>
      <c r="O9" s="7">
        <f>ROUND(N9*70%, 0)</f>
        <v/>
      </c>
      <c r="P9" s="7">
        <f>MIN(ROUNDUP(N9*0.2, 0), MAX(0, N9 - O9))</f>
        <v/>
      </c>
      <c r="Q9" s="7">
        <f>IF(C9&gt;20, "Hủy slot (Mưa &gt; 20mm)", "Kích hoạt")</f>
        <v/>
      </c>
      <c r="R9" s="7">
        <f>IF(C9&gt;20, 0, P9)</f>
        <v/>
      </c>
      <c r="S9" s="52">
        <f>IF(C9&gt;20, P9*0.2*Y9, 0)</f>
        <v/>
      </c>
      <c r="T9" s="7">
        <f>MAX(0, J9 - O9 - R9)</f>
        <v/>
      </c>
      <c r="U9" s="7">
        <f>O9 + R9 + T9</f>
        <v/>
      </c>
      <c r="V9" s="7" t="n">
        <v>15</v>
      </c>
      <c r="W9" s="12" t="inlineStr">
        <is>
          <t>2-4</t>
        </is>
      </c>
      <c r="X9" s="7" t="n">
        <v>12</v>
      </c>
      <c r="Y9" s="53">
        <f>IF(OR(B9&gt;=34, F9=1), 11700000, 9000000)</f>
        <v/>
      </c>
      <c r="Z9" s="54" t="n">
        <v>10</v>
      </c>
      <c r="AA9" s="51">
        <f>AVERAGE(J6:J8)</f>
        <v/>
      </c>
      <c r="AB9" s="51">
        <f>ABS(J9 - AA9)</f>
        <v/>
      </c>
      <c r="AC9" s="7">
        <f>IF(OR(W9="8-10 (Lỗi)", W9="5-8 (Lỗi)"), "Loại", "Hợp lệ")</f>
        <v/>
      </c>
      <c r="AD9" s="53">
        <f>IF(AA9="", 0, IF(AA9&gt;J9, (AA9-J9)*2700000, 0))</f>
        <v/>
      </c>
      <c r="AE9" s="53">
        <f>IF(AA9="", 0, IF(J9&gt;AA9, (J9-AA9)*6000000, 0))</f>
        <v/>
      </c>
      <c r="AF9" s="53">
        <f>AD9 + AE9</f>
        <v/>
      </c>
      <c r="AG9" s="7">
        <f>ABS(U9 - J9)</f>
        <v/>
      </c>
      <c r="AH9" s="53">
        <f>IF(U9&gt;J9, (U9-J9)*2700000, 0)</f>
        <v/>
      </c>
      <c r="AI9" s="53">
        <f>IF(J9&gt;U9, (J9-U9)*6000000, 0)</f>
        <v/>
      </c>
      <c r="AJ9" s="53">
        <f>AH9 + AI9 + S9</f>
        <v/>
      </c>
    </row>
    <row r="10" ht="14.25" customHeight="1" s="38">
      <c r="A10" s="7" t="inlineStr">
        <is>
          <t>Ngày 08</t>
        </is>
      </c>
      <c r="B10" s="7" t="n">
        <v>32</v>
      </c>
      <c r="C10" s="7" t="n">
        <v>0</v>
      </c>
      <c r="D10" s="8" t="n">
        <v>0.2</v>
      </c>
      <c r="E10" s="7" t="n">
        <v>32</v>
      </c>
      <c r="F10" s="7" t="n">
        <v>0</v>
      </c>
      <c r="G10" s="7" t="n">
        <v>75</v>
      </c>
      <c r="H10" s="51">
        <f>G10*IF(F10=1, 0.85, 0.8)</f>
        <v/>
      </c>
      <c r="I10" s="12" t="inlineStr">
        <is>
          <t>2-4</t>
        </is>
      </c>
      <c r="J10" s="7">
        <f>ROUNDUP(H10/17.2, 0)</f>
        <v/>
      </c>
      <c r="K10" s="51">
        <f>ROUND(TREND(G$3:G$32, E$3:E$32, E10), 1)</f>
        <v/>
      </c>
      <c r="L10" s="51">
        <f>ROUND(TREND(G$3:G$32, B$3:E$32, B10:E10), 1)</f>
        <v/>
      </c>
      <c r="M10" s="51">
        <f>ROUND(TREND(G$3:G$32, B$3:F$32, B10:F10), 1)</f>
        <v/>
      </c>
      <c r="N10" s="7">
        <f>ROUNDUP(M10*IF(F10=1, 0.85, 0.8)/17.2, 0)</f>
        <v/>
      </c>
      <c r="O10" s="7">
        <f>ROUND(N10*70%, 0)</f>
        <v/>
      </c>
      <c r="P10" s="7">
        <f>MIN(ROUNDUP(N10*0.2, 0), MAX(0, N10 - O10))</f>
        <v/>
      </c>
      <c r="Q10" s="7">
        <f>IF(C10&gt;20, "Hủy slot (Mưa &gt; 20mm)", "Kích hoạt")</f>
        <v/>
      </c>
      <c r="R10" s="7">
        <f>IF(C10&gt;20, 0, P10)</f>
        <v/>
      </c>
      <c r="S10" s="52">
        <f>IF(C10&gt;20, P10*0.2*Y10, 0)</f>
        <v/>
      </c>
      <c r="T10" s="7">
        <f>MAX(0, J10 - O10 - R10)</f>
        <v/>
      </c>
      <c r="U10" s="7">
        <f>O10 + R10 + T10</f>
        <v/>
      </c>
      <c r="V10" s="7" t="n">
        <v>15</v>
      </c>
      <c r="W10" s="12" t="inlineStr">
        <is>
          <t>2-4</t>
        </is>
      </c>
      <c r="X10" s="7" t="n">
        <v>14</v>
      </c>
      <c r="Y10" s="53">
        <f>IF(OR(B10&gt;=34, F10=1), 11700000, 9000000)</f>
        <v/>
      </c>
      <c r="Z10" s="54" t="n">
        <v>12</v>
      </c>
      <c r="AA10" s="51">
        <f>AVERAGE(J7:J9)</f>
        <v/>
      </c>
      <c r="AB10" s="51">
        <f>ABS(J10 - AA10)</f>
        <v/>
      </c>
      <c r="AC10" s="7">
        <f>IF(OR(W10="8-10 (Lỗi)", W10="5-8 (Lỗi)"), "Loại", "Hợp lệ")</f>
        <v/>
      </c>
      <c r="AD10" s="53">
        <f>IF(AA10="", 0, IF(AA10&gt;J10, (AA10-J10)*2700000, 0))</f>
        <v/>
      </c>
      <c r="AE10" s="53">
        <f>IF(AA10="", 0, IF(J10&gt;AA10, (J10-AA10)*6000000, 0))</f>
        <v/>
      </c>
      <c r="AF10" s="53">
        <f>AD10 + AE10</f>
        <v/>
      </c>
      <c r="AG10" s="7">
        <f>ABS(U10 - J10)</f>
        <v/>
      </c>
      <c r="AH10" s="53">
        <f>IF(U10&gt;J10, (U10-J10)*2700000, 0)</f>
        <v/>
      </c>
      <c r="AI10" s="53">
        <f>IF(J10&gt;U10, (J10-U10)*6000000, 0)</f>
        <v/>
      </c>
      <c r="AJ10" s="53">
        <f>AH10 + AI10 + S10</f>
        <v/>
      </c>
    </row>
    <row r="11" ht="14.25" customHeight="1" s="38">
      <c r="A11" s="7" t="inlineStr">
        <is>
          <t>Ngày 09</t>
        </is>
      </c>
      <c r="B11" s="7" t="n">
        <v>30</v>
      </c>
      <c r="C11" s="7" t="n">
        <v>15</v>
      </c>
      <c r="D11" s="8" t="n">
        <v>0.28</v>
      </c>
      <c r="E11" s="7" t="n">
        <v>22</v>
      </c>
      <c r="F11" s="7" t="n">
        <v>0</v>
      </c>
      <c r="G11" s="7" t="n">
        <v>70</v>
      </c>
      <c r="H11" s="51">
        <f>G11*IF(F11=1, 0.85, 0.8)</f>
        <v/>
      </c>
      <c r="I11" s="12" t="inlineStr">
        <is>
          <t>2-4</t>
        </is>
      </c>
      <c r="J11" s="7">
        <f>ROUNDUP(H11/17.2, 0)</f>
        <v/>
      </c>
      <c r="K11" s="51">
        <f>ROUND(TREND(G$3:G$32, E$3:E$32, E11), 1)</f>
        <v/>
      </c>
      <c r="L11" s="51">
        <f>ROUND(TREND(G$3:G$32, B$3:E$32, B11:E11), 1)</f>
        <v/>
      </c>
      <c r="M11" s="51">
        <f>ROUND(TREND(G$3:G$32, B$3:F$32, B11:F11), 1)</f>
        <v/>
      </c>
      <c r="N11" s="7">
        <f>ROUNDUP(M11*IF(F11=1, 0.85, 0.8)/17.2, 0)</f>
        <v/>
      </c>
      <c r="O11" s="7">
        <f>ROUND(N11*70%, 0)</f>
        <v/>
      </c>
      <c r="P11" s="7">
        <f>MIN(ROUNDUP(N11*0.2, 0), MAX(0, N11 - O11))</f>
        <v/>
      </c>
      <c r="Q11" s="7">
        <f>IF(C11&gt;20, "Hủy slot (Mưa &gt; 20mm)", "Kích hoạt")</f>
        <v/>
      </c>
      <c r="R11" s="7">
        <f>IF(C11&gt;20, 0, P11)</f>
        <v/>
      </c>
      <c r="S11" s="52">
        <f>IF(C11&gt;20, P11*0.2*Y11, 0)</f>
        <v/>
      </c>
      <c r="T11" s="7">
        <f>MAX(0, J11 - O11 - R11)</f>
        <v/>
      </c>
      <c r="U11" s="7">
        <f>O11 + R11 + T11</f>
        <v/>
      </c>
      <c r="V11" s="7" t="n">
        <v>16</v>
      </c>
      <c r="W11" s="12" t="inlineStr">
        <is>
          <t>8-10 (Lỗi)</t>
        </is>
      </c>
      <c r="X11" s="7" t="n">
        <v>12</v>
      </c>
      <c r="Y11" s="53">
        <f>IF(OR(B11&gt;=34, F11=1), 11700000, 9000000)</f>
        <v/>
      </c>
      <c r="Z11" s="54" t="n">
        <v>15</v>
      </c>
      <c r="AA11" s="51">
        <f>AVERAGE(J8:J10)</f>
        <v/>
      </c>
      <c r="AB11" s="51">
        <f>ABS(J11 - AA11)</f>
        <v/>
      </c>
      <c r="AC11" s="7">
        <f>IF(OR(W11="8-10 (Lỗi)", W11="5-8 (Lỗi)"), "Loại", "Hợp lệ")</f>
        <v/>
      </c>
      <c r="AD11" s="53">
        <f>IF(AA11="", 0, IF(AA11&gt;J11, (AA11-J11)*2700000, 0))</f>
        <v/>
      </c>
      <c r="AE11" s="53">
        <f>IF(AA11="", 0, IF(J11&gt;AA11, (J11-AA11)*6000000, 0))</f>
        <v/>
      </c>
      <c r="AF11" s="53">
        <f>AD11 + AE11</f>
        <v/>
      </c>
      <c r="AG11" s="7">
        <f>ABS(U11 - J11)</f>
        <v/>
      </c>
      <c r="AH11" s="53">
        <f>IF(U11&gt;J11, (U11-J11)*2700000, 0)</f>
        <v/>
      </c>
      <c r="AI11" s="53">
        <f>IF(J11&gt;U11, (J11-U11)*6000000, 0)</f>
        <v/>
      </c>
      <c r="AJ11" s="53">
        <f>AH11 + AI11 + S11</f>
        <v/>
      </c>
    </row>
    <row r="12" ht="14.25" customHeight="1" s="38">
      <c r="A12" s="7" t="inlineStr">
        <is>
          <t>Ngày 10</t>
        </is>
      </c>
      <c r="B12" s="7" t="n">
        <v>32</v>
      </c>
      <c r="C12" s="7" t="n">
        <v>0</v>
      </c>
      <c r="D12" s="8" t="n">
        <v>0.35</v>
      </c>
      <c r="E12" s="7" t="n">
        <v>38</v>
      </c>
      <c r="F12" s="7" t="n">
        <v>0</v>
      </c>
      <c r="G12" s="7" t="n">
        <v>72</v>
      </c>
      <c r="H12" s="51">
        <f>G12*IF(F12=1, 0.85, 0.8)</f>
        <v/>
      </c>
      <c r="I12" s="12" t="inlineStr">
        <is>
          <t>2-4</t>
        </is>
      </c>
      <c r="J12" s="7">
        <f>ROUNDUP(H12/17.2, 0)</f>
        <v/>
      </c>
      <c r="K12" s="51">
        <f>ROUND(TREND(G$3:G$32, E$3:E$32, E12), 1)</f>
        <v/>
      </c>
      <c r="L12" s="51">
        <f>ROUND(TREND(G$3:G$32, B$3:E$32, B12:E12), 1)</f>
        <v/>
      </c>
      <c r="M12" s="51">
        <f>ROUND(TREND(G$3:G$32, B$3:F$32, B12:F12), 1)</f>
        <v/>
      </c>
      <c r="N12" s="7">
        <f>ROUNDUP(M12*IF(F12=1, 0.85, 0.8)/17.2, 0)</f>
        <v/>
      </c>
      <c r="O12" s="7">
        <f>ROUND(N12*70%, 0)</f>
        <v/>
      </c>
      <c r="P12" s="7">
        <f>MIN(ROUNDUP(N12*0.2, 0), MAX(0, N12 - O12))</f>
        <v/>
      </c>
      <c r="Q12" s="7">
        <f>IF(C12&gt;20, "Hủy slot (Mưa &gt; 20mm)", "Kích hoạt")</f>
        <v/>
      </c>
      <c r="R12" s="7">
        <f>IF(C12&gt;20, 0, P12)</f>
        <v/>
      </c>
      <c r="S12" s="52">
        <f>IF(C12&gt;20, P12*0.2*Y12, 0)</f>
        <v/>
      </c>
      <c r="T12" s="7">
        <f>MAX(0, J12 - O12 - R12)</f>
        <v/>
      </c>
      <c r="U12" s="7">
        <f>O12 + R12 + T12</f>
        <v/>
      </c>
      <c r="V12" s="7" t="n">
        <v>14</v>
      </c>
      <c r="W12" s="12" t="inlineStr">
        <is>
          <t>2-4</t>
        </is>
      </c>
      <c r="X12" s="7" t="n">
        <v>16</v>
      </c>
      <c r="Y12" s="53">
        <f>IF(OR(B12&gt;=34, F12=1), 11700000, 9000000)</f>
        <v/>
      </c>
      <c r="Z12" s="54" t="n">
        <v>13</v>
      </c>
      <c r="AA12" s="51">
        <f>AVERAGE(J9:J11)</f>
        <v/>
      </c>
      <c r="AB12" s="51">
        <f>ABS(J12 - AA12)</f>
        <v/>
      </c>
      <c r="AC12" s="7">
        <f>IF(OR(W12="8-10 (Lỗi)", W12="5-8 (Lỗi)"), "Loại", "Hợp lệ")</f>
        <v/>
      </c>
      <c r="AD12" s="53">
        <f>IF(AA12="", 0, IF(AA12&gt;J12, (AA12-J12)*2700000, 0))</f>
        <v/>
      </c>
      <c r="AE12" s="53">
        <f>IF(AA12="", 0, IF(J12&gt;AA12, (J12-AA12)*6000000, 0))</f>
        <v/>
      </c>
      <c r="AF12" s="53">
        <f>AD12 + AE12</f>
        <v/>
      </c>
      <c r="AG12" s="7">
        <f>ABS(U12 - J12)</f>
        <v/>
      </c>
      <c r="AH12" s="53">
        <f>IF(U12&gt;J12, (U12-J12)*2700000, 0)</f>
        <v/>
      </c>
      <c r="AI12" s="53">
        <f>IF(J12&gt;U12, (J12-U12)*6000000, 0)</f>
        <v/>
      </c>
      <c r="AJ12" s="53">
        <f>AH12 + AI12 + S12</f>
        <v/>
      </c>
    </row>
    <row r="13" ht="14.25" customHeight="1" s="38">
      <c r="A13" s="7" t="inlineStr">
        <is>
          <t>Ngày 11</t>
        </is>
      </c>
      <c r="B13" s="7" t="n">
        <v>34</v>
      </c>
      <c r="C13" s="7" t="n">
        <v>0</v>
      </c>
      <c r="D13" s="8" t="n">
        <v>0.45</v>
      </c>
      <c r="E13" s="7" t="n">
        <v>52</v>
      </c>
      <c r="F13" s="7" t="n">
        <v>0</v>
      </c>
      <c r="G13" s="7" t="n">
        <v>20</v>
      </c>
      <c r="H13" s="51">
        <f>G13*IF(F13=1, 0.85, 0.8)</f>
        <v/>
      </c>
      <c r="I13" s="12" t="inlineStr">
        <is>
          <t>2-4</t>
        </is>
      </c>
      <c r="J13" s="7">
        <f>ROUNDUP(H13/17.2, 0)</f>
        <v/>
      </c>
      <c r="K13" s="51">
        <f>ROUND(TREND(G$3:G$32, E$3:E$32, E13), 1)</f>
        <v/>
      </c>
      <c r="L13" s="51">
        <f>ROUND(TREND(G$3:G$32, B$3:E$32, B13:E13), 1)</f>
        <v/>
      </c>
      <c r="M13" s="51">
        <f>ROUND(TREND(G$3:G$32, B$3:F$32, B13:F13), 1)</f>
        <v/>
      </c>
      <c r="N13" s="7">
        <f>ROUNDUP(M13*IF(F13=1, 0.85, 0.8)/17.2, 0)</f>
        <v/>
      </c>
      <c r="O13" s="7">
        <f>ROUND(N13*70%, 0)</f>
        <v/>
      </c>
      <c r="P13" s="7">
        <f>MIN(ROUNDUP(N13*0.2, 0), MAX(0, N13 - O13))</f>
        <v/>
      </c>
      <c r="Q13" s="7">
        <f>IF(C13&gt;20, "Hủy slot (Mưa &gt; 20mm)", "Kích hoạt")</f>
        <v/>
      </c>
      <c r="R13" s="7">
        <f>IF(C13&gt;20, 0, P13)</f>
        <v/>
      </c>
      <c r="S13" s="52">
        <f>IF(C13&gt;20, P13*0.2*Y13, 0)</f>
        <v/>
      </c>
      <c r="T13" s="7">
        <f>MAX(0, J13 - O13 - R13)</f>
        <v/>
      </c>
      <c r="U13" s="7">
        <f>O13 + R13 + T13</f>
        <v/>
      </c>
      <c r="V13" s="7" t="n">
        <v>15</v>
      </c>
      <c r="W13" s="12" t="inlineStr">
        <is>
          <t>2-4</t>
        </is>
      </c>
      <c r="X13" s="7" t="n">
        <v>2</v>
      </c>
      <c r="Y13" s="53">
        <f>IF(OR(B13&gt;=34, F13=1), 11700000, 9000000)</f>
        <v/>
      </c>
      <c r="Z13" s="54" t="n">
        <v>2</v>
      </c>
      <c r="AA13" s="51">
        <f>AVERAGE(J10:J12)</f>
        <v/>
      </c>
      <c r="AB13" s="51">
        <f>ABS(J13 - AA13)</f>
        <v/>
      </c>
      <c r="AC13" s="7">
        <f>IF(OR(W13="8-10 (Lỗi)", W13="5-8 (Lỗi)"), "Loại", "Hợp lệ")</f>
        <v/>
      </c>
      <c r="AD13" s="53">
        <f>IF(AA13="", 0, IF(AA13&gt;J13, (AA13-J13)*2700000, 0))</f>
        <v/>
      </c>
      <c r="AE13" s="53">
        <f>IF(AA13="", 0, IF(J13&gt;AA13, (J13-AA13)*6000000, 0))</f>
        <v/>
      </c>
      <c r="AF13" s="53">
        <f>AD13 + AE13</f>
        <v/>
      </c>
      <c r="AG13" s="7">
        <f>ABS(U13 - J13)</f>
        <v/>
      </c>
      <c r="AH13" s="53">
        <f>IF(U13&gt;J13, (U13-J13)*2700000, 0)</f>
        <v/>
      </c>
      <c r="AI13" s="53">
        <f>IF(J13&gt;U13, (J13-U13)*6000000, 0)</f>
        <v/>
      </c>
      <c r="AJ13" s="53">
        <f>AH13 + AI13 + S13</f>
        <v/>
      </c>
    </row>
    <row r="14" ht="14.25" customHeight="1" s="38">
      <c r="A14" s="7" t="inlineStr">
        <is>
          <t>Ngày 12</t>
        </is>
      </c>
      <c r="B14" s="7" t="n">
        <v>31</v>
      </c>
      <c r="C14" s="7" t="n">
        <v>0</v>
      </c>
      <c r="D14" s="8" t="n">
        <v>0.52</v>
      </c>
      <c r="E14" s="7" t="n">
        <v>45</v>
      </c>
      <c r="F14" s="7" t="n">
        <v>1</v>
      </c>
      <c r="G14" s="7" t="n">
        <v>110</v>
      </c>
      <c r="H14" s="51">
        <f>G14*IF(F14=1, 0.85, 0.8)</f>
        <v/>
      </c>
      <c r="I14" s="12" t="inlineStr">
        <is>
          <t>2-4</t>
        </is>
      </c>
      <c r="J14" s="7">
        <f>ROUNDUP(H14/17.2, 0)</f>
        <v/>
      </c>
      <c r="K14" s="51">
        <f>ROUND(TREND(G$3:G$32, E$3:E$32, E14), 1)</f>
        <v/>
      </c>
      <c r="L14" s="51">
        <f>ROUND(TREND(G$3:G$32, B$3:E$32, B14:E14), 1)</f>
        <v/>
      </c>
      <c r="M14" s="51">
        <f>ROUND(TREND(G$3:G$32, B$3:F$32, B14:F14), 1)</f>
        <v/>
      </c>
      <c r="N14" s="7">
        <f>ROUNDUP(M14*IF(F14=1, 0.85, 0.8)/17.2, 0)</f>
        <v/>
      </c>
      <c r="O14" s="7">
        <f>ROUND(N14*70%, 0)</f>
        <v/>
      </c>
      <c r="P14" s="7">
        <f>MIN(ROUNDUP(N14*0.2, 0), MAX(0, N14 - O14))</f>
        <v/>
      </c>
      <c r="Q14" s="7">
        <f>IF(C14&gt;20, "Hủy slot (Mưa &gt; 20mm)", "Kích hoạt")</f>
        <v/>
      </c>
      <c r="R14" s="7">
        <f>IF(C14&gt;20, 0, P14)</f>
        <v/>
      </c>
      <c r="S14" s="52">
        <f>IF(C14&gt;20, P14*0.2*Y14, 0)</f>
        <v/>
      </c>
      <c r="T14" s="7">
        <f>MAX(0, J14 - O14 - R14)</f>
        <v/>
      </c>
      <c r="U14" s="7">
        <f>O14 + R14 + T14</f>
        <v/>
      </c>
      <c r="V14" s="7" t="n">
        <v>10</v>
      </c>
      <c r="W14" s="12" t="inlineStr">
        <is>
          <t>2-4</t>
        </is>
      </c>
      <c r="X14" s="7" t="n">
        <v>24</v>
      </c>
      <c r="Y14" s="53">
        <f>IF(OR(B14&gt;=34, F14=1), 11700000, 9000000)</f>
        <v/>
      </c>
      <c r="Z14" s="54" t="n">
        <v>20</v>
      </c>
      <c r="AA14" s="51">
        <f>AVERAGE(J11:J13)</f>
        <v/>
      </c>
      <c r="AB14" s="51">
        <f>ABS(J14 - AA14)</f>
        <v/>
      </c>
      <c r="AC14" s="7">
        <f>IF(OR(W14="8-10 (Lỗi)", W14="5-8 (Lỗi)"), "Loại", "Hợp lệ")</f>
        <v/>
      </c>
      <c r="AD14" s="53">
        <f>IF(AA14="", 0, IF(AA14&gt;J14, (AA14-J14)*2700000, 0))</f>
        <v/>
      </c>
      <c r="AE14" s="53">
        <f>IF(AA14="", 0, IF(J14&gt;AA14, (J14-AA14)*6000000, 0))</f>
        <v/>
      </c>
      <c r="AF14" s="53">
        <f>AD14 + AE14</f>
        <v/>
      </c>
      <c r="AG14" s="7">
        <f>ABS(U14 - J14)</f>
        <v/>
      </c>
      <c r="AH14" s="53">
        <f>IF(U14&gt;J14, (U14-J14)*2700000, 0)</f>
        <v/>
      </c>
      <c r="AI14" s="53">
        <f>IF(J14&gt;U14, (J14-U14)*6000000, 0)</f>
        <v/>
      </c>
      <c r="AJ14" s="53">
        <f>AH14 + AI14 + S14</f>
        <v/>
      </c>
    </row>
    <row r="15" ht="14.25" customHeight="1" s="38">
      <c r="A15" s="7" t="inlineStr">
        <is>
          <t>Ngày 13</t>
        </is>
      </c>
      <c r="B15" s="7" t="n">
        <v>36</v>
      </c>
      <c r="C15" s="7" t="n">
        <v>0</v>
      </c>
      <c r="D15" s="8" t="n">
        <v>0.68</v>
      </c>
      <c r="E15" s="7" t="n">
        <v>78</v>
      </c>
      <c r="F15" s="7" t="n">
        <v>1</v>
      </c>
      <c r="G15" s="7" t="n">
        <v>95</v>
      </c>
      <c r="H15" s="51">
        <f>G15*IF(F15=1, 0.85, 0.8)</f>
        <v/>
      </c>
      <c r="I15" s="12" t="inlineStr">
        <is>
          <t>2-4</t>
        </is>
      </c>
      <c r="J15" s="7">
        <f>ROUNDUP(H15/17.2, 0)</f>
        <v/>
      </c>
      <c r="K15" s="51">
        <f>ROUND(TREND(G$3:G$32, E$3:E$32, E15), 1)</f>
        <v/>
      </c>
      <c r="L15" s="51">
        <f>ROUND(TREND(G$3:G$32, B$3:E$32, B15:E15), 1)</f>
        <v/>
      </c>
      <c r="M15" s="51">
        <f>ROUND(TREND(G$3:G$32, B$3:F$32, B15:F15), 1)</f>
        <v/>
      </c>
      <c r="N15" s="7">
        <f>ROUNDUP(M15*IF(F15=1, 0.85, 0.8)/17.2, 0)</f>
        <v/>
      </c>
      <c r="O15" s="7">
        <f>ROUND(N15*70%, 0)</f>
        <v/>
      </c>
      <c r="P15" s="7">
        <f>MIN(ROUNDUP(N15*0.2, 0), MAX(0, N15 - O15))</f>
        <v/>
      </c>
      <c r="Q15" s="7">
        <f>IF(C15&gt;20, "Hủy slot (Mưa &gt; 20mm)", "Kích hoạt")</f>
        <v/>
      </c>
      <c r="R15" s="7">
        <f>IF(C15&gt;20, 0, P15)</f>
        <v/>
      </c>
      <c r="S15" s="52">
        <f>IF(C15&gt;20, P15*0.2*Y15, 0)</f>
        <v/>
      </c>
      <c r="T15" s="7">
        <f>MAX(0, J15 - O15 - R15)</f>
        <v/>
      </c>
      <c r="U15" s="7">
        <f>O15 + R15 + T15</f>
        <v/>
      </c>
      <c r="V15" s="7" t="n">
        <v>9</v>
      </c>
      <c r="W15" s="12" t="inlineStr">
        <is>
          <t>2-4</t>
        </is>
      </c>
      <c r="X15" s="7" t="n">
        <v>22</v>
      </c>
      <c r="Y15" s="53">
        <f>IF(OR(B15&gt;=34, F15=1), 11700000, 9000000)</f>
        <v/>
      </c>
      <c r="Z15" s="54" t="n">
        <v>18</v>
      </c>
      <c r="AA15" s="51">
        <f>AVERAGE(J12:J14)</f>
        <v/>
      </c>
      <c r="AB15" s="51">
        <f>ABS(J15 - AA15)</f>
        <v/>
      </c>
      <c r="AC15" s="7">
        <f>IF(OR(W15="8-10 (Lỗi)", W15="5-8 (Lỗi)"), "Loại", "Hợp lệ")</f>
        <v/>
      </c>
      <c r="AD15" s="53">
        <f>IF(AA15="", 0, IF(AA15&gt;J15, (AA15-J15)*2700000, 0))</f>
        <v/>
      </c>
      <c r="AE15" s="53">
        <f>IF(AA15="", 0, IF(J15&gt;AA15, (J15-AA15)*6000000, 0))</f>
        <v/>
      </c>
      <c r="AF15" s="53">
        <f>AD15 + AE15</f>
        <v/>
      </c>
      <c r="AG15" s="7">
        <f>ABS(U15 - J15)</f>
        <v/>
      </c>
      <c r="AH15" s="53">
        <f>IF(U15&gt;J15, (U15-J15)*2700000, 0)</f>
        <v/>
      </c>
      <c r="AI15" s="53">
        <f>IF(J15&gt;U15, (J15-U15)*6000000, 0)</f>
        <v/>
      </c>
      <c r="AJ15" s="53">
        <f>AH15 + AI15 + S15</f>
        <v/>
      </c>
    </row>
    <row r="16" ht="14.25" customHeight="1" s="38">
      <c r="A16" s="7" t="inlineStr">
        <is>
          <t>Ngày 14</t>
        </is>
      </c>
      <c r="B16" s="7" t="n">
        <v>35</v>
      </c>
      <c r="C16" s="7" t="n">
        <v>0</v>
      </c>
      <c r="D16" s="8" t="n">
        <v>0.78</v>
      </c>
      <c r="E16" s="7" t="n">
        <v>85</v>
      </c>
      <c r="F16" s="7" t="n">
        <v>0</v>
      </c>
      <c r="G16" s="7" t="n">
        <v>85</v>
      </c>
      <c r="H16" s="51">
        <f>G16*IF(F16=1, 0.85, 0.8)</f>
        <v/>
      </c>
      <c r="I16" s="12" t="inlineStr">
        <is>
          <t>2-4</t>
        </is>
      </c>
      <c r="J16" s="7">
        <f>ROUNDUP(H16/17.2, 0)</f>
        <v/>
      </c>
      <c r="K16" s="51">
        <f>ROUND(TREND(G$3:G$32, E$3:E$32, E16), 1)</f>
        <v/>
      </c>
      <c r="L16" s="51">
        <f>ROUND(TREND(G$3:G$32, B$3:E$32, B16:E16), 1)</f>
        <v/>
      </c>
      <c r="M16" s="51">
        <f>ROUND(TREND(G$3:G$32, B$3:F$32, B16:F16), 1)</f>
        <v/>
      </c>
      <c r="N16" s="7">
        <f>ROUNDUP(M16*IF(F16=1, 0.85, 0.8)/17.2, 0)</f>
        <v/>
      </c>
      <c r="O16" s="7">
        <f>ROUND(N16*70%, 0)</f>
        <v/>
      </c>
      <c r="P16" s="7">
        <f>MIN(ROUNDUP(N16*0.2, 0), MAX(0, N16 - O16))</f>
        <v/>
      </c>
      <c r="Q16" s="7">
        <f>IF(C16&gt;20, "Hủy slot (Mưa &gt; 20mm)", "Kích hoạt")</f>
        <v/>
      </c>
      <c r="R16" s="7">
        <f>IF(C16&gt;20, 0, P16)</f>
        <v/>
      </c>
      <c r="S16" s="52">
        <f>IF(C16&gt;20, P16*0.2*Y16, 0)</f>
        <v/>
      </c>
      <c r="T16" s="7">
        <f>MAX(0, J16 - O16 - R16)</f>
        <v/>
      </c>
      <c r="U16" s="7">
        <f>O16 + R16 + T16</f>
        <v/>
      </c>
      <c r="V16" s="7" t="n">
        <v>14</v>
      </c>
      <c r="W16" s="12" t="inlineStr">
        <is>
          <t>2-4</t>
        </is>
      </c>
      <c r="X16" s="7" t="n">
        <v>18</v>
      </c>
      <c r="Y16" s="53">
        <f>IF(OR(B16&gt;=34, F16=1), 11700000, 9000000)</f>
        <v/>
      </c>
      <c r="Z16" s="54" t="n">
        <v>15</v>
      </c>
      <c r="AA16" s="51">
        <f>AVERAGE(J13:J15)</f>
        <v/>
      </c>
      <c r="AB16" s="51">
        <f>ABS(J16 - AA16)</f>
        <v/>
      </c>
      <c r="AC16" s="7">
        <f>IF(OR(W16="8-10 (Lỗi)", W16="5-8 (Lỗi)"), "Loại", "Hợp lệ")</f>
        <v/>
      </c>
      <c r="AD16" s="53">
        <f>IF(AA16="", 0, IF(AA16&gt;J16, (AA16-J16)*2700000, 0))</f>
        <v/>
      </c>
      <c r="AE16" s="53">
        <f>IF(AA16="", 0, IF(J16&gt;AA16, (J16-AA16)*6000000, 0))</f>
        <v/>
      </c>
      <c r="AF16" s="53">
        <f>AD16 + AE16</f>
        <v/>
      </c>
      <c r="AG16" s="7">
        <f>ABS(U16 - J16)</f>
        <v/>
      </c>
      <c r="AH16" s="53">
        <f>IF(U16&gt;J16, (U16-J16)*2700000, 0)</f>
        <v/>
      </c>
      <c r="AI16" s="53">
        <f>IF(J16&gt;U16, (J16-U16)*6000000, 0)</f>
        <v/>
      </c>
      <c r="AJ16" s="53">
        <f>AH16 + AI16 + S16</f>
        <v/>
      </c>
    </row>
    <row r="17" ht="14.25" customHeight="1" s="38">
      <c r="A17" s="7" t="inlineStr">
        <is>
          <t>Ngày 15</t>
        </is>
      </c>
      <c r="B17" s="7" t="n">
        <v>31</v>
      </c>
      <c r="C17" s="7" t="n">
        <v>5</v>
      </c>
      <c r="D17" s="8" t="n">
        <v>0.82</v>
      </c>
      <c r="E17" s="7" t="n">
        <v>65</v>
      </c>
      <c r="F17" s="7" t="n">
        <v>0</v>
      </c>
      <c r="G17" s="7" t="n">
        <v>70</v>
      </c>
      <c r="H17" s="51">
        <f>G17*IF(F17=1, 0.85, 0.8)</f>
        <v/>
      </c>
      <c r="I17" s="12" t="inlineStr">
        <is>
          <t>2-4</t>
        </is>
      </c>
      <c r="J17" s="7">
        <f>ROUNDUP(H17/17.2, 0)</f>
        <v/>
      </c>
      <c r="K17" s="51">
        <f>ROUND(TREND(G$3:G$32, E$3:E$32, E17), 1)</f>
        <v/>
      </c>
      <c r="L17" s="51">
        <f>ROUND(TREND(G$3:G$32, B$3:E$32, B17:E17), 1)</f>
        <v/>
      </c>
      <c r="M17" s="51">
        <f>ROUND(TREND(G$3:G$32, B$3:F$32, B17:F17), 1)</f>
        <v/>
      </c>
      <c r="N17" s="7">
        <f>ROUNDUP(M17*IF(F17=1, 0.85, 0.8)/17.2, 0)</f>
        <v/>
      </c>
      <c r="O17" s="7">
        <f>ROUND(N17*70%, 0)</f>
        <v/>
      </c>
      <c r="P17" s="7">
        <f>MIN(ROUNDUP(N17*0.2, 0), MAX(0, N17 - O17))</f>
        <v/>
      </c>
      <c r="Q17" s="7">
        <f>IF(C17&gt;20, "Hủy slot (Mưa &gt; 20mm)", "Kích hoạt")</f>
        <v/>
      </c>
      <c r="R17" s="7">
        <f>IF(C17&gt;20, 0, P17)</f>
        <v/>
      </c>
      <c r="S17" s="52">
        <f>IF(C17&gt;20, P17*0.2*Y17, 0)</f>
        <v/>
      </c>
      <c r="T17" s="7">
        <f>MAX(0, J17 - O17 - R17)</f>
        <v/>
      </c>
      <c r="U17" s="7">
        <f>O17 + R17 + T17</f>
        <v/>
      </c>
      <c r="V17" s="7" t="n">
        <v>15</v>
      </c>
      <c r="W17" s="12" t="inlineStr">
        <is>
          <t>2-4</t>
        </is>
      </c>
      <c r="X17" s="7" t="n">
        <v>14</v>
      </c>
      <c r="Y17" s="53">
        <f>IF(OR(B17&gt;=34, F17=1), 11700000, 9000000)</f>
        <v/>
      </c>
      <c r="Z17" s="54" t="n">
        <v>12</v>
      </c>
      <c r="AA17" s="51">
        <f>AVERAGE(J14:J16)</f>
        <v/>
      </c>
      <c r="AB17" s="51">
        <f>ABS(J17 - AA17)</f>
        <v/>
      </c>
      <c r="AC17" s="7">
        <f>IF(OR(W17="8-10 (Lỗi)", W17="5-8 (Lỗi)"), "Loại", "Hợp lệ")</f>
        <v/>
      </c>
      <c r="AD17" s="53">
        <f>IF(AA17="", 0, IF(AA17&gt;J17, (AA17-J17)*2700000, 0))</f>
        <v/>
      </c>
      <c r="AE17" s="53">
        <f>IF(AA17="", 0, IF(J17&gt;AA17, (J17-AA17)*6000000, 0))</f>
        <v/>
      </c>
      <c r="AF17" s="53">
        <f>AD17 + AE17</f>
        <v/>
      </c>
      <c r="AG17" s="7">
        <f>ABS(U17 - J17)</f>
        <v/>
      </c>
      <c r="AH17" s="53">
        <f>IF(U17&gt;J17, (U17-J17)*2700000, 0)</f>
        <v/>
      </c>
      <c r="AI17" s="53">
        <f>IF(J17&gt;U17, (J17-U17)*6000000, 0)</f>
        <v/>
      </c>
      <c r="AJ17" s="53">
        <f>AH17 + AI17 + S17</f>
        <v/>
      </c>
    </row>
    <row r="18" ht="14.25" customHeight="1" s="38">
      <c r="A18" s="7" t="inlineStr">
        <is>
          <t>Ngày 16</t>
        </is>
      </c>
      <c r="B18" s="7" t="n">
        <v>30</v>
      </c>
      <c r="C18" s="7" t="n">
        <v>65</v>
      </c>
      <c r="D18" s="8" t="n">
        <v>0.84</v>
      </c>
      <c r="E18" s="7" t="n">
        <v>18</v>
      </c>
      <c r="F18" s="7" t="n">
        <v>0</v>
      </c>
      <c r="G18" s="7" t="n">
        <v>65</v>
      </c>
      <c r="H18" s="51">
        <f>G18*IF(F18=1, 0.85, 0.8)</f>
        <v/>
      </c>
      <c r="I18" s="12" t="inlineStr">
        <is>
          <t>2-4</t>
        </is>
      </c>
      <c r="J18" s="7">
        <f>ROUNDUP(H18/17.2, 0)</f>
        <v/>
      </c>
      <c r="K18" s="51">
        <f>ROUND(TREND(G$3:G$32, E$3:E$32, E18), 1)</f>
        <v/>
      </c>
      <c r="L18" s="51">
        <f>ROUND(TREND(G$3:G$32, B$3:E$32, B18:E18), 1)</f>
        <v/>
      </c>
      <c r="M18" s="51">
        <f>ROUND(TREND(G$3:G$32, B$3:F$32, B18:F18), 1)</f>
        <v/>
      </c>
      <c r="N18" s="7">
        <f>ROUNDUP(M18*IF(F18=1, 0.85, 0.8)/17.2, 0)</f>
        <v/>
      </c>
      <c r="O18" s="7">
        <f>ROUND(N18*70%, 0)</f>
        <v/>
      </c>
      <c r="P18" s="7">
        <f>MIN(ROUNDUP(N18*0.2, 0), MAX(0, N18 - O18))</f>
        <v/>
      </c>
      <c r="Q18" s="7">
        <f>IF(C18&gt;20, "Hủy slot (Mưa &gt; 20mm)", "Kích hoạt")</f>
        <v/>
      </c>
      <c r="R18" s="7">
        <f>IF(C18&gt;20, 0, P18)</f>
        <v/>
      </c>
      <c r="S18" s="52">
        <f>IF(C18&gt;20, P18*0.2*Y18, 0)</f>
        <v/>
      </c>
      <c r="T18" s="7">
        <f>MAX(0, J18 - O18 - R18)</f>
        <v/>
      </c>
      <c r="U18" s="7">
        <f>O18 + R18 + T18</f>
        <v/>
      </c>
      <c r="V18" s="7" t="n">
        <v>16</v>
      </c>
      <c r="W18" s="12" t="inlineStr">
        <is>
          <t>5-8 (Lỗi)</t>
        </is>
      </c>
      <c r="X18" s="7" t="n">
        <v>12</v>
      </c>
      <c r="Y18" s="53">
        <f>IF(OR(B18&gt;=34, F18=1), 11700000, 9000000)</f>
        <v/>
      </c>
      <c r="Z18" s="54" t="n">
        <v>14</v>
      </c>
      <c r="AA18" s="51">
        <f>AVERAGE(J15:J17)</f>
        <v/>
      </c>
      <c r="AB18" s="51">
        <f>ABS(J18 - AA18)</f>
        <v/>
      </c>
      <c r="AC18" s="7">
        <f>IF(OR(W18="8-10 (Lỗi)", W18="5-8 (Lỗi)"), "Loại", "Hợp lệ")</f>
        <v/>
      </c>
      <c r="AD18" s="53">
        <f>IF(AA18="", 0, IF(AA18&gt;J18, (AA18-J18)*2700000, 0))</f>
        <v/>
      </c>
      <c r="AE18" s="53">
        <f>IF(AA18="", 0, IF(J18&gt;AA18, (J18-AA18)*6000000, 0))</f>
        <v/>
      </c>
      <c r="AF18" s="53">
        <f>AD18 + AE18</f>
        <v/>
      </c>
      <c r="AG18" s="7">
        <f>ABS(U18 - J18)</f>
        <v/>
      </c>
      <c r="AH18" s="53">
        <f>IF(U18&gt;J18, (U18-J18)*2700000, 0)</f>
        <v/>
      </c>
      <c r="AI18" s="53">
        <f>IF(J18&gt;U18, (J18-U18)*6000000, 0)</f>
        <v/>
      </c>
      <c r="AJ18" s="53">
        <f>AH18 + AI18 + S18</f>
        <v/>
      </c>
    </row>
    <row r="19" ht="14.25" customHeight="1" s="38">
      <c r="A19" s="7" t="inlineStr">
        <is>
          <t>Ngày 17</t>
        </is>
      </c>
      <c r="B19" s="7" t="n">
        <v>30</v>
      </c>
      <c r="C19" s="7" t="n">
        <v>20</v>
      </c>
      <c r="D19" s="8" t="n">
        <v>0.86</v>
      </c>
      <c r="E19" s="7" t="n">
        <v>25</v>
      </c>
      <c r="F19" s="7" t="n">
        <v>0</v>
      </c>
      <c r="G19" s="7" t="n">
        <v>80</v>
      </c>
      <c r="H19" s="51">
        <f>G19*IF(F19=1, 0.85, 0.8)</f>
        <v/>
      </c>
      <c r="I19" s="12" t="inlineStr">
        <is>
          <t>2-4</t>
        </is>
      </c>
      <c r="J19" s="7">
        <f>ROUNDUP(H19/17.2, 0)</f>
        <v/>
      </c>
      <c r="K19" s="51">
        <f>ROUND(TREND(G$3:G$32, E$3:E$32, E19), 1)</f>
        <v/>
      </c>
      <c r="L19" s="51">
        <f>ROUND(TREND(G$3:G$32, B$3:E$32, B19:E19), 1)</f>
        <v/>
      </c>
      <c r="M19" s="51">
        <f>ROUND(TREND(G$3:G$32, B$3:F$32, B19:F19), 1)</f>
        <v/>
      </c>
      <c r="N19" s="7">
        <f>ROUNDUP(M19*IF(F19=1, 0.85, 0.8)/17.2, 0)</f>
        <v/>
      </c>
      <c r="O19" s="7">
        <f>ROUND(N19*70%, 0)</f>
        <v/>
      </c>
      <c r="P19" s="7">
        <f>MIN(ROUNDUP(N19*0.2, 0), MAX(0, N19 - O19))</f>
        <v/>
      </c>
      <c r="Q19" s="7">
        <f>IF(C19&gt;20, "Hủy slot (Mưa &gt; 20mm)", "Kích hoạt")</f>
        <v/>
      </c>
      <c r="R19" s="7">
        <f>IF(C19&gt;20, 0, P19)</f>
        <v/>
      </c>
      <c r="S19" s="52">
        <f>IF(C19&gt;20, P19*0.2*Y19, 0)</f>
        <v/>
      </c>
      <c r="T19" s="7">
        <f>MAX(0, J19 - O19 - R19)</f>
        <v/>
      </c>
      <c r="U19" s="7">
        <f>O19 + R19 + T19</f>
        <v/>
      </c>
      <c r="V19" s="7" t="n">
        <v>15</v>
      </c>
      <c r="W19" s="12" t="inlineStr">
        <is>
          <t>2-4</t>
        </is>
      </c>
      <c r="X19" s="7" t="n">
        <v>16</v>
      </c>
      <c r="Y19" s="53">
        <f>IF(OR(B19&gt;=34, F19=1), 11700000, 9000000)</f>
        <v/>
      </c>
      <c r="Z19" s="54" t="n">
        <v>15</v>
      </c>
      <c r="AA19" s="51">
        <f>AVERAGE(J16:J18)</f>
        <v/>
      </c>
      <c r="AB19" s="51">
        <f>ABS(J19 - AA19)</f>
        <v/>
      </c>
      <c r="AC19" s="7">
        <f>IF(OR(W19="8-10 (Lỗi)", W19="5-8 (Lỗi)"), "Loại", "Hợp lệ")</f>
        <v/>
      </c>
      <c r="AD19" s="53">
        <f>IF(AA19="", 0, IF(AA19&gt;J19, (AA19-J19)*2700000, 0))</f>
        <v/>
      </c>
      <c r="AE19" s="53">
        <f>IF(AA19="", 0, IF(J19&gt;AA19, (J19-AA19)*6000000, 0))</f>
        <v/>
      </c>
      <c r="AF19" s="53">
        <f>AD19 + AE19</f>
        <v/>
      </c>
      <c r="AG19" s="7">
        <f>ABS(U19 - J19)</f>
        <v/>
      </c>
      <c r="AH19" s="53">
        <f>IF(U19&gt;J19, (U19-J19)*2700000, 0)</f>
        <v/>
      </c>
      <c r="AI19" s="53">
        <f>IF(J19&gt;U19, (J19-U19)*6000000, 0)</f>
        <v/>
      </c>
      <c r="AJ19" s="53">
        <f>AH19 + AI19 + S19</f>
        <v/>
      </c>
    </row>
    <row r="20" ht="14.25" customHeight="1" s="38">
      <c r="A20" s="7" t="inlineStr">
        <is>
          <t>Ngày 18</t>
        </is>
      </c>
      <c r="B20" s="7" t="n">
        <v>32</v>
      </c>
      <c r="C20" s="7" t="n">
        <v>0</v>
      </c>
      <c r="D20" s="8" t="n">
        <v>0.89</v>
      </c>
      <c r="E20" s="7" t="n">
        <v>55</v>
      </c>
      <c r="F20" s="7" t="n">
        <v>0</v>
      </c>
      <c r="G20" s="7" t="n">
        <v>75</v>
      </c>
      <c r="H20" s="51">
        <f>G20*IF(F20=1, 0.85, 0.8)</f>
        <v/>
      </c>
      <c r="I20" s="12" t="inlineStr">
        <is>
          <t>2-4</t>
        </is>
      </c>
      <c r="J20" s="7">
        <f>ROUNDUP(H20/17.2, 0)</f>
        <v/>
      </c>
      <c r="K20" s="51">
        <f>ROUND(TREND(G$3:G$32, E$3:E$32, E20), 1)</f>
        <v/>
      </c>
      <c r="L20" s="51">
        <f>ROUND(TREND(G$3:G$32, B$3:E$32, B20:E20), 1)</f>
        <v/>
      </c>
      <c r="M20" s="51">
        <f>ROUND(TREND(G$3:G$32, B$3:F$32, B20:F20), 1)</f>
        <v/>
      </c>
      <c r="N20" s="7">
        <f>ROUNDUP(M20*IF(F20=1, 0.85, 0.8)/17.2, 0)</f>
        <v/>
      </c>
      <c r="O20" s="7">
        <f>ROUND(N20*70%, 0)</f>
        <v/>
      </c>
      <c r="P20" s="7">
        <f>MIN(ROUNDUP(N20*0.2, 0), MAX(0, N20 - O20))</f>
        <v/>
      </c>
      <c r="Q20" s="7">
        <f>IF(C20&gt;20, "Hủy slot (Mưa &gt; 20mm)", "Kích hoạt")</f>
        <v/>
      </c>
      <c r="R20" s="7">
        <f>IF(C20&gt;20, 0, P20)</f>
        <v/>
      </c>
      <c r="S20" s="52">
        <f>IF(C20&gt;20, P20*0.2*Y20, 0)</f>
        <v/>
      </c>
      <c r="T20" s="7">
        <f>MAX(0, J20 - O20 - R20)</f>
        <v/>
      </c>
      <c r="U20" s="7">
        <f>O20 + R20 + T20</f>
        <v/>
      </c>
      <c r="V20" s="7" t="n">
        <v>15</v>
      </c>
      <c r="W20" s="12" t="inlineStr">
        <is>
          <t>2-4</t>
        </is>
      </c>
      <c r="X20" s="7" t="n">
        <v>14</v>
      </c>
      <c r="Y20" s="53">
        <f>IF(OR(B20&gt;=34, F20=1), 11700000, 9000000)</f>
        <v/>
      </c>
      <c r="Z20" s="54" t="n">
        <v>12</v>
      </c>
      <c r="AA20" s="51">
        <f>AVERAGE(J17:J19)</f>
        <v/>
      </c>
      <c r="AB20" s="51">
        <f>ABS(J20 - AA20)</f>
        <v/>
      </c>
      <c r="AC20" s="7">
        <f>IF(OR(W20="8-10 (Lỗi)", W20="5-8 (Lỗi)"), "Loại", "Hợp lệ")</f>
        <v/>
      </c>
      <c r="AD20" s="53">
        <f>IF(AA20="", 0, IF(AA20&gt;J20, (AA20-J20)*2700000, 0))</f>
        <v/>
      </c>
      <c r="AE20" s="53">
        <f>IF(AA20="", 0, IF(J20&gt;AA20, (J20-AA20)*6000000, 0))</f>
        <v/>
      </c>
      <c r="AF20" s="53">
        <f>AD20 + AE20</f>
        <v/>
      </c>
      <c r="AG20" s="7">
        <f>ABS(U20 - J20)</f>
        <v/>
      </c>
      <c r="AH20" s="53">
        <f>IF(U20&gt;J20, (U20-J20)*2700000, 0)</f>
        <v/>
      </c>
      <c r="AI20" s="53">
        <f>IF(J20&gt;U20, (J20-U20)*6000000, 0)</f>
        <v/>
      </c>
      <c r="AJ20" s="53">
        <f>AH20 + AI20 + S20</f>
        <v/>
      </c>
    </row>
    <row r="21" ht="14.25" customHeight="1" s="38">
      <c r="A21" s="7" t="inlineStr">
        <is>
          <t>Ngày 19</t>
        </is>
      </c>
      <c r="B21" s="7" t="n">
        <v>31</v>
      </c>
      <c r="C21" s="7" t="n">
        <v>0</v>
      </c>
      <c r="D21" s="8" t="n">
        <v>0.91</v>
      </c>
      <c r="E21" s="7" t="n">
        <v>68</v>
      </c>
      <c r="F21" s="7" t="n">
        <v>1</v>
      </c>
      <c r="G21" s="7" t="n">
        <v>85</v>
      </c>
      <c r="H21" s="51">
        <f>G21*IF(F21=1, 0.85, 0.8)</f>
        <v/>
      </c>
      <c r="I21" s="12" t="inlineStr">
        <is>
          <t>2-4</t>
        </is>
      </c>
      <c r="J21" s="7">
        <f>ROUNDUP(H21/17.2, 0)</f>
        <v/>
      </c>
      <c r="K21" s="51">
        <f>ROUND(TREND(G$3:G$32, E$3:E$32, E21), 1)</f>
        <v/>
      </c>
      <c r="L21" s="51">
        <f>ROUND(TREND(G$3:G$32, B$3:E$32, B21:E21), 1)</f>
        <v/>
      </c>
      <c r="M21" s="51">
        <f>ROUND(TREND(G$3:G$32, B$3:F$32, B21:F21), 1)</f>
        <v/>
      </c>
      <c r="N21" s="7">
        <f>ROUNDUP(M21*IF(F21=1, 0.85, 0.8)/17.2, 0)</f>
        <v/>
      </c>
      <c r="O21" s="7">
        <f>ROUND(N21*70%, 0)</f>
        <v/>
      </c>
      <c r="P21" s="7">
        <f>MIN(ROUNDUP(N21*0.2, 0), MAX(0, N21 - O21))</f>
        <v/>
      </c>
      <c r="Q21" s="7">
        <f>IF(C21&gt;20, "Hủy slot (Mưa &gt; 20mm)", "Kích hoạt")</f>
        <v/>
      </c>
      <c r="R21" s="7">
        <f>IF(C21&gt;20, 0, P21)</f>
        <v/>
      </c>
      <c r="S21" s="52">
        <f>IF(C21&gt;20, P21*0.2*Y21, 0)</f>
        <v/>
      </c>
      <c r="T21" s="7">
        <f>MAX(0, J21 - O21 - R21)</f>
        <v/>
      </c>
      <c r="U21" s="7">
        <f>O21 + R21 + T21</f>
        <v/>
      </c>
      <c r="V21" s="7" t="n">
        <v>10</v>
      </c>
      <c r="W21" s="12" t="inlineStr">
        <is>
          <t>2-4</t>
        </is>
      </c>
      <c r="X21" s="7" t="n">
        <v>20</v>
      </c>
      <c r="Y21" s="53">
        <f>IF(OR(B21&gt;=34, F21=1), 11700000, 9000000)</f>
        <v/>
      </c>
      <c r="Z21" s="54" t="n">
        <v>16</v>
      </c>
      <c r="AA21" s="51">
        <f>AVERAGE(J18:J20)</f>
        <v/>
      </c>
      <c r="AB21" s="51">
        <f>ABS(J21 - AA21)</f>
        <v/>
      </c>
      <c r="AC21" s="7">
        <f>IF(OR(W21="8-10 (Lỗi)", W21="5-8 (Lỗi)"), "Loại", "Hợp lệ")</f>
        <v/>
      </c>
      <c r="AD21" s="53">
        <f>IF(AA21="", 0, IF(AA21&gt;J21, (AA21-J21)*2700000, 0))</f>
        <v/>
      </c>
      <c r="AE21" s="53">
        <f>IF(AA21="", 0, IF(J21&gt;AA21, (J21-AA21)*6000000, 0))</f>
        <v/>
      </c>
      <c r="AF21" s="53">
        <f>AD21 + AE21</f>
        <v/>
      </c>
      <c r="AG21" s="7">
        <f>ABS(U21 - J21)</f>
        <v/>
      </c>
      <c r="AH21" s="53">
        <f>IF(U21&gt;J21, (U21-J21)*2700000, 0)</f>
        <v/>
      </c>
      <c r="AI21" s="53">
        <f>IF(J21&gt;U21, (J21-U21)*6000000, 0)</f>
        <v/>
      </c>
      <c r="AJ21" s="53">
        <f>AH21 + AI21 + S21</f>
        <v/>
      </c>
    </row>
    <row r="22" ht="14.25" customHeight="1" s="38">
      <c r="A22" s="7" t="inlineStr">
        <is>
          <t>Ngày 20</t>
        </is>
      </c>
      <c r="B22" s="7" t="n">
        <v>33</v>
      </c>
      <c r="C22" s="7" t="n">
        <v>0</v>
      </c>
      <c r="D22" s="8" t="n">
        <v>0.93</v>
      </c>
      <c r="E22" s="7" t="n">
        <v>75</v>
      </c>
      <c r="F22" s="7" t="n">
        <v>1</v>
      </c>
      <c r="G22" s="7" t="n">
        <v>60</v>
      </c>
      <c r="H22" s="51">
        <f>G22*IF(F22=1, 0.85, 0.8)</f>
        <v/>
      </c>
      <c r="I22" s="12" t="inlineStr">
        <is>
          <t>2-4</t>
        </is>
      </c>
      <c r="J22" s="7">
        <f>ROUNDUP(H22/17.2, 0)</f>
        <v/>
      </c>
      <c r="K22" s="51">
        <f>ROUND(TREND(G$3:G$32, E$3:E$32, E22), 1)</f>
        <v/>
      </c>
      <c r="L22" s="51">
        <f>ROUND(TREND(G$3:G$32, B$3:E$32, B22:E22), 1)</f>
        <v/>
      </c>
      <c r="M22" s="51">
        <f>ROUND(TREND(G$3:G$32, B$3:F$32, B22:F22), 1)</f>
        <v/>
      </c>
      <c r="N22" s="7">
        <f>ROUNDUP(M22*IF(F22=1, 0.85, 0.8)/17.2, 0)</f>
        <v/>
      </c>
      <c r="O22" s="7">
        <f>ROUND(N22*70%, 0)</f>
        <v/>
      </c>
      <c r="P22" s="7">
        <f>MIN(ROUNDUP(N22*0.2, 0), MAX(0, N22 - O22))</f>
        <v/>
      </c>
      <c r="Q22" s="7">
        <f>IF(C22&gt;20, "Hủy slot (Mưa &gt; 20mm)", "Kích hoạt")</f>
        <v/>
      </c>
      <c r="R22" s="7">
        <f>IF(C22&gt;20, 0, P22)</f>
        <v/>
      </c>
      <c r="S22" s="52">
        <f>IF(C22&gt;20, P22*0.2*Y22, 0)</f>
        <v/>
      </c>
      <c r="T22" s="7">
        <f>MAX(0, J22 - O22 - R22)</f>
        <v/>
      </c>
      <c r="U22" s="7">
        <f>O22 + R22 + T22</f>
        <v/>
      </c>
      <c r="V22" s="7" t="n">
        <v>11</v>
      </c>
      <c r="W22" s="12" t="inlineStr">
        <is>
          <t>2-4</t>
        </is>
      </c>
      <c r="X22" s="7" t="n">
        <v>8</v>
      </c>
      <c r="Y22" s="53">
        <f>IF(OR(B22&gt;=34, F22=1), 11700000, 9000000)</f>
        <v/>
      </c>
      <c r="Z22" s="54" t="n">
        <v>8</v>
      </c>
      <c r="AA22" s="51">
        <f>AVERAGE(J19:J21)</f>
        <v/>
      </c>
      <c r="AB22" s="51">
        <f>ABS(J22 - AA22)</f>
        <v/>
      </c>
      <c r="AC22" s="7">
        <f>IF(OR(W22="8-10 (Lỗi)", W22="5-8 (Lỗi)"), "Loại", "Hợp lệ")</f>
        <v/>
      </c>
      <c r="AD22" s="53">
        <f>IF(AA22="", 0, IF(AA22&gt;J22, (AA22-J22)*2700000, 0))</f>
        <v/>
      </c>
      <c r="AE22" s="53">
        <f>IF(AA22="", 0, IF(J22&gt;AA22, (J22-AA22)*6000000, 0))</f>
        <v/>
      </c>
      <c r="AF22" s="53">
        <f>AD22 + AE22</f>
        <v/>
      </c>
      <c r="AG22" s="7">
        <f>ABS(U22 - J22)</f>
        <v/>
      </c>
      <c r="AH22" s="53">
        <f>IF(U22&gt;J22, (U22-J22)*2700000, 0)</f>
        <v/>
      </c>
      <c r="AI22" s="53">
        <f>IF(J22&gt;U22, (J22-U22)*6000000, 0)</f>
        <v/>
      </c>
      <c r="AJ22" s="53">
        <f>AH22 + AI22 + S22</f>
        <v/>
      </c>
    </row>
    <row r="23" ht="14.25" customHeight="1" s="38">
      <c r="A23" s="7" t="inlineStr">
        <is>
          <t>Ngày 21</t>
        </is>
      </c>
      <c r="B23" s="7" t="n">
        <v>34</v>
      </c>
      <c r="C23" s="7" t="n">
        <v>0</v>
      </c>
      <c r="D23" s="8" t="n">
        <v>0.95</v>
      </c>
      <c r="E23" s="7" t="n">
        <v>80</v>
      </c>
      <c r="F23" s="7" t="n">
        <v>0</v>
      </c>
      <c r="G23" s="7" t="n">
        <v>70</v>
      </c>
      <c r="H23" s="51">
        <f>G23*IF(F23=1, 0.85, 0.8)</f>
        <v/>
      </c>
      <c r="I23" s="12" t="inlineStr">
        <is>
          <t>2-4</t>
        </is>
      </c>
      <c r="J23" s="7">
        <f>ROUNDUP(H23/17.2, 0)</f>
        <v/>
      </c>
      <c r="K23" s="51">
        <f>ROUND(TREND(G$3:G$32, E$3:E$32, E23), 1)</f>
        <v/>
      </c>
      <c r="L23" s="51">
        <f>ROUND(TREND(G$3:G$32, B$3:E$32, B23:E23), 1)</f>
        <v/>
      </c>
      <c r="M23" s="51">
        <f>ROUND(TREND(G$3:G$32, B$3:F$32, B23:F23), 1)</f>
        <v/>
      </c>
      <c r="N23" s="7">
        <f>ROUNDUP(M23*IF(F23=1, 0.85, 0.8)/17.2, 0)</f>
        <v/>
      </c>
      <c r="O23" s="7">
        <f>ROUND(N23*70%, 0)</f>
        <v/>
      </c>
      <c r="P23" s="7">
        <f>MIN(ROUNDUP(N23*0.2, 0), MAX(0, N23 - O23))</f>
        <v/>
      </c>
      <c r="Q23" s="7">
        <f>IF(C23&gt;20, "Hủy slot (Mưa &gt; 20mm)", "Kích hoạt")</f>
        <v/>
      </c>
      <c r="R23" s="7">
        <f>IF(C23&gt;20, 0, P23)</f>
        <v/>
      </c>
      <c r="S23" s="52">
        <f>IF(C23&gt;20, P23*0.2*Y23, 0)</f>
        <v/>
      </c>
      <c r="T23" s="7">
        <f>MAX(0, J23 - O23 - R23)</f>
        <v/>
      </c>
      <c r="U23" s="7">
        <f>O23 + R23 + T23</f>
        <v/>
      </c>
      <c r="V23" s="7" t="n">
        <v>16</v>
      </c>
      <c r="W23" s="12" t="inlineStr">
        <is>
          <t>2-4</t>
        </is>
      </c>
      <c r="X23" s="7" t="n">
        <v>10</v>
      </c>
      <c r="Y23" s="53">
        <f>IF(OR(B23&gt;=34, F23=1), 11700000, 9000000)</f>
        <v/>
      </c>
      <c r="Z23" s="54" t="n">
        <v>10</v>
      </c>
      <c r="AA23" s="51">
        <f>AVERAGE(J20:J22)</f>
        <v/>
      </c>
      <c r="AB23" s="51">
        <f>ABS(J23 - AA23)</f>
        <v/>
      </c>
      <c r="AC23" s="7">
        <f>IF(OR(W23="8-10 (Lỗi)", W23="5-8 (Lỗi)"), "Loại", "Hợp lệ")</f>
        <v/>
      </c>
      <c r="AD23" s="53">
        <f>IF(AA23="", 0, IF(AA23&gt;J23, (AA23-J23)*2700000, 0))</f>
        <v/>
      </c>
      <c r="AE23" s="53">
        <f>IF(AA23="", 0, IF(J23&gt;AA23, (J23-AA23)*6000000, 0))</f>
        <v/>
      </c>
      <c r="AF23" s="53">
        <f>AD23 + AE23</f>
        <v/>
      </c>
      <c r="AG23" s="7">
        <f>ABS(U23 - J23)</f>
        <v/>
      </c>
      <c r="AH23" s="53">
        <f>IF(U23&gt;J23, (U23-J23)*2700000, 0)</f>
        <v/>
      </c>
      <c r="AI23" s="53">
        <f>IF(J23&gt;U23, (J23-U23)*6000000, 0)</f>
        <v/>
      </c>
      <c r="AJ23" s="53">
        <f>AH23 + AI23 + S23</f>
        <v/>
      </c>
    </row>
    <row r="24" ht="14.25" customHeight="1" s="38">
      <c r="A24" s="7" t="inlineStr">
        <is>
          <t>Ngày 22</t>
        </is>
      </c>
      <c r="B24" s="7" t="n">
        <v>35</v>
      </c>
      <c r="C24" s="7" t="n">
        <v>0</v>
      </c>
      <c r="D24" s="8" t="n">
        <v>0.97</v>
      </c>
      <c r="E24" s="7" t="n">
        <v>90</v>
      </c>
      <c r="F24" s="7" t="n">
        <v>0</v>
      </c>
      <c r="G24" s="7" t="n">
        <v>80</v>
      </c>
      <c r="H24" s="51">
        <f>G24*IF(F24=1, 0.85, 0.8)</f>
        <v/>
      </c>
      <c r="I24" s="12" t="inlineStr">
        <is>
          <t>2-4</t>
        </is>
      </c>
      <c r="J24" s="7">
        <f>ROUNDUP(H24/17.2, 0)</f>
        <v/>
      </c>
      <c r="K24" s="51">
        <f>ROUND(TREND(G$3:G$32, E$3:E$32, E24), 1)</f>
        <v/>
      </c>
      <c r="L24" s="51">
        <f>ROUND(TREND(G$3:G$32, B$3:E$32, B24:E24), 1)</f>
        <v/>
      </c>
      <c r="M24" s="51">
        <f>ROUND(TREND(G$3:G$32, B$3:F$32, B24:F24), 1)</f>
        <v/>
      </c>
      <c r="N24" s="7">
        <f>ROUNDUP(M24*IF(F24=1, 0.85, 0.8)/17.2, 0)</f>
        <v/>
      </c>
      <c r="O24" s="7">
        <f>ROUND(N24*70%, 0)</f>
        <v/>
      </c>
      <c r="P24" s="7">
        <f>MIN(ROUNDUP(N24*0.2, 0), MAX(0, N24 - O24))</f>
        <v/>
      </c>
      <c r="Q24" s="7">
        <f>IF(C24&gt;20, "Hủy slot (Mưa &gt; 20mm)", "Kích hoạt")</f>
        <v/>
      </c>
      <c r="R24" s="7">
        <f>IF(C24&gt;20, 0, P24)</f>
        <v/>
      </c>
      <c r="S24" s="52">
        <f>IF(C24&gt;20, P24*0.2*Y24, 0)</f>
        <v/>
      </c>
      <c r="T24" s="7">
        <f>MAX(0, J24 - O24 - R24)</f>
        <v/>
      </c>
      <c r="U24" s="7">
        <f>O24 + R24 + T24</f>
        <v/>
      </c>
      <c r="V24" s="7" t="n">
        <v>15</v>
      </c>
      <c r="W24" s="12" t="inlineStr">
        <is>
          <t>2-4</t>
        </is>
      </c>
      <c r="X24" s="7" t="n">
        <v>14</v>
      </c>
      <c r="Y24" s="53">
        <f>IF(OR(B24&gt;=34, F24=1), 11700000, 9000000)</f>
        <v/>
      </c>
      <c r="Z24" s="54" t="n">
        <v>14</v>
      </c>
      <c r="AA24" s="51">
        <f>AVERAGE(J21:J23)</f>
        <v/>
      </c>
      <c r="AB24" s="51">
        <f>ABS(J24 - AA24)</f>
        <v/>
      </c>
      <c r="AC24" s="7">
        <f>IF(OR(W24="8-10 (Lỗi)", W24="5-8 (Lỗi)"), "Loại", "Hợp lệ")</f>
        <v/>
      </c>
      <c r="AD24" s="53">
        <f>IF(AA24="", 0, IF(AA24&gt;J24, (AA24-J24)*2700000, 0))</f>
        <v/>
      </c>
      <c r="AE24" s="53">
        <f>IF(AA24="", 0, IF(J24&gt;AA24, (J24-AA24)*6000000, 0))</f>
        <v/>
      </c>
      <c r="AF24" s="53">
        <f>AD24 + AE24</f>
        <v/>
      </c>
      <c r="AG24" s="7">
        <f>ABS(U24 - J24)</f>
        <v/>
      </c>
      <c r="AH24" s="53">
        <f>IF(U24&gt;J24, (U24-J24)*2700000, 0)</f>
        <v/>
      </c>
      <c r="AI24" s="53">
        <f>IF(J24&gt;U24, (J24-U24)*6000000, 0)</f>
        <v/>
      </c>
      <c r="AJ24" s="53">
        <f>AH24 + AI24 + S24</f>
        <v/>
      </c>
    </row>
    <row r="25" ht="14.25" customHeight="1" s="38">
      <c r="A25" s="7" t="inlineStr">
        <is>
          <t>Ngày 23</t>
        </is>
      </c>
      <c r="B25" s="7" t="n">
        <v>38</v>
      </c>
      <c r="C25" s="7" t="n">
        <v>0</v>
      </c>
      <c r="D25" s="8" t="n">
        <v>0.99</v>
      </c>
      <c r="E25" s="7" t="n">
        <v>110</v>
      </c>
      <c r="F25" s="7" t="n">
        <v>0</v>
      </c>
      <c r="G25" s="7" t="n">
        <v>65</v>
      </c>
      <c r="H25" s="51">
        <f>G25*IF(F25=1, 0.85, 0.8)</f>
        <v/>
      </c>
      <c r="I25" s="12" t="inlineStr">
        <is>
          <t>2-4</t>
        </is>
      </c>
      <c r="J25" s="7">
        <f>ROUNDUP(H25/17.2, 0)</f>
        <v/>
      </c>
      <c r="K25" s="51">
        <f>ROUND(TREND(G$3:G$32, E$3:E$32, E25), 1)</f>
        <v/>
      </c>
      <c r="L25" s="51">
        <f>ROUND(TREND(G$3:G$32, B$3:E$32, B25:E25), 1)</f>
        <v/>
      </c>
      <c r="M25" s="51">
        <f>ROUND(TREND(G$3:G$32, B$3:F$32, B25:F25), 1)</f>
        <v/>
      </c>
      <c r="N25" s="7">
        <f>ROUNDUP(M25*IF(F25=1, 0.85, 0.8)/17.2, 0)</f>
        <v/>
      </c>
      <c r="O25" s="7">
        <f>ROUND(N25*70%, 0)</f>
        <v/>
      </c>
      <c r="P25" s="7">
        <f>MIN(ROUNDUP(N25*0.2, 0), MAX(0, N25 - O25))</f>
        <v/>
      </c>
      <c r="Q25" s="7">
        <f>IF(C25&gt;20, "Hủy slot (Mưa &gt; 20mm)", "Kích hoạt")</f>
        <v/>
      </c>
      <c r="R25" s="7">
        <f>IF(C25&gt;20, 0, P25)</f>
        <v/>
      </c>
      <c r="S25" s="52">
        <f>IF(C25&gt;20, P25*0.2*Y25, 0)</f>
        <v/>
      </c>
      <c r="T25" s="7">
        <f>MAX(0, J25 - O25 - R25)</f>
        <v/>
      </c>
      <c r="U25" s="7">
        <f>O25 + R25 + T25</f>
        <v/>
      </c>
      <c r="V25" s="7" t="n">
        <v>16</v>
      </c>
      <c r="W25" s="12" t="inlineStr">
        <is>
          <t>2-4</t>
        </is>
      </c>
      <c r="X25" s="7" t="n">
        <v>8</v>
      </c>
      <c r="Y25" s="53">
        <f>IF(OR(B25&gt;=34, F25=1), 11700000, 9000000)</f>
        <v/>
      </c>
      <c r="Z25" s="54" t="n">
        <v>8</v>
      </c>
      <c r="AA25" s="51">
        <f>AVERAGE(J22:J24)</f>
        <v/>
      </c>
      <c r="AB25" s="51">
        <f>ABS(J25 - AA25)</f>
        <v/>
      </c>
      <c r="AC25" s="7">
        <f>IF(OR(W25="8-10 (Lỗi)", W25="5-8 (Lỗi)"), "Loại", "Hợp lệ")</f>
        <v/>
      </c>
      <c r="AD25" s="53">
        <f>IF(AA25="", 0, IF(AA25&gt;J25, (AA25-J25)*2700000, 0))</f>
        <v/>
      </c>
      <c r="AE25" s="53">
        <f>IF(AA25="", 0, IF(J25&gt;AA25, (J25-AA25)*6000000, 0))</f>
        <v/>
      </c>
      <c r="AF25" s="53">
        <f>AD25 + AE25</f>
        <v/>
      </c>
      <c r="AG25" s="7">
        <f>ABS(U25 - J25)</f>
        <v/>
      </c>
      <c r="AH25" s="53">
        <f>IF(U25&gt;J25, (U25-J25)*2700000, 0)</f>
        <v/>
      </c>
      <c r="AI25" s="53">
        <f>IF(J25&gt;U25, (J25-U25)*6000000, 0)</f>
        <v/>
      </c>
      <c r="AJ25" s="53">
        <f>AH25 + AI25 + S25</f>
        <v/>
      </c>
    </row>
    <row r="26" ht="14.25" customHeight="1" s="38">
      <c r="A26" s="7" t="inlineStr">
        <is>
          <t>Ngày 24</t>
        </is>
      </c>
      <c r="B26" s="7" t="n">
        <v>35</v>
      </c>
      <c r="C26" s="7" t="n">
        <v>0</v>
      </c>
      <c r="D26" s="8" t="n">
        <v>1</v>
      </c>
      <c r="E26" s="7" t="n">
        <v>88</v>
      </c>
      <c r="F26" s="7" t="n">
        <v>0</v>
      </c>
      <c r="G26" s="7" t="n">
        <v>50</v>
      </c>
      <c r="H26" s="51">
        <f>G26*IF(F26=1, 0.85, 0.8)</f>
        <v/>
      </c>
      <c r="I26" s="12" t="inlineStr">
        <is>
          <t>2-4</t>
        </is>
      </c>
      <c r="J26" s="7">
        <f>ROUNDUP(H26/17.2, 0)</f>
        <v/>
      </c>
      <c r="K26" s="51">
        <f>ROUND(TREND(G$3:G$32, E$3:E$32, E26), 1)</f>
        <v/>
      </c>
      <c r="L26" s="51">
        <f>ROUND(TREND(G$3:G$32, B$3:E$32, B26:E26), 1)</f>
        <v/>
      </c>
      <c r="M26" s="51">
        <f>ROUND(TREND(G$3:G$32, B$3:F$32, B26:F26), 1)</f>
        <v/>
      </c>
      <c r="N26" s="7">
        <f>ROUNDUP(M26*IF(F26=1, 0.85, 0.8)/17.2, 0)</f>
        <v/>
      </c>
      <c r="O26" s="7">
        <f>ROUND(N26*70%, 0)</f>
        <v/>
      </c>
      <c r="P26" s="7">
        <f>MIN(ROUNDUP(N26*0.2, 0), MAX(0, N26 - O26))</f>
        <v/>
      </c>
      <c r="Q26" s="7">
        <f>IF(C26&gt;20, "Hủy slot (Mưa &gt; 20mm)", "Kích hoạt")</f>
        <v/>
      </c>
      <c r="R26" s="7">
        <f>IF(C26&gt;20, 0, P26)</f>
        <v/>
      </c>
      <c r="S26" s="52">
        <f>IF(C26&gt;20, P26*0.2*Y26, 0)</f>
        <v/>
      </c>
      <c r="T26" s="7">
        <f>MAX(0, J26 - O26 - R26)</f>
        <v/>
      </c>
      <c r="U26" s="7">
        <f>O26 + R26 + T26</f>
        <v/>
      </c>
      <c r="V26" s="7" t="n">
        <v>15</v>
      </c>
      <c r="W26" s="12" t="inlineStr">
        <is>
          <t>2-4</t>
        </is>
      </c>
      <c r="X26" s="7" t="n">
        <v>4</v>
      </c>
      <c r="Y26" s="53">
        <f>IF(OR(B26&gt;=34, F26=1), 11700000, 9000000)</f>
        <v/>
      </c>
      <c r="Z26" s="54" t="n">
        <v>5</v>
      </c>
      <c r="AA26" s="51">
        <f>AVERAGE(J23:J25)</f>
        <v/>
      </c>
      <c r="AB26" s="51">
        <f>ABS(J26 - AA26)</f>
        <v/>
      </c>
      <c r="AC26" s="7">
        <f>IF(OR(W26="8-10 (Lỗi)", W26="5-8 (Lỗi)"), "Loại", "Hợp lệ")</f>
        <v/>
      </c>
      <c r="AD26" s="53">
        <f>IF(AA26="", 0, IF(AA26&gt;J26, (AA26-J26)*2700000, 0))</f>
        <v/>
      </c>
      <c r="AE26" s="53">
        <f>IF(AA26="", 0, IF(J26&gt;AA26, (J26-AA26)*6000000, 0))</f>
        <v/>
      </c>
      <c r="AF26" s="53">
        <f>AD26 + AE26</f>
        <v/>
      </c>
      <c r="AG26" s="7">
        <f>ABS(U26 - J26)</f>
        <v/>
      </c>
      <c r="AH26" s="53">
        <f>IF(U26&gt;J26, (U26-J26)*2700000, 0)</f>
        <v/>
      </c>
      <c r="AI26" s="53">
        <f>IF(J26&gt;U26, (J26-U26)*6000000, 0)</f>
        <v/>
      </c>
      <c r="AJ26" s="53">
        <f>AH26 + AI26 + S26</f>
        <v/>
      </c>
    </row>
    <row r="27" ht="14.25" customHeight="1" s="38">
      <c r="A27" s="7" t="inlineStr">
        <is>
          <t>Ngày 25</t>
        </is>
      </c>
      <c r="B27" s="7" t="n">
        <v>30</v>
      </c>
      <c r="C27" s="7" t="n">
        <v>75</v>
      </c>
      <c r="D27" s="8" t="n">
        <v>1</v>
      </c>
      <c r="E27" s="7" t="n">
        <v>15</v>
      </c>
      <c r="F27" s="7" t="n">
        <v>0</v>
      </c>
      <c r="G27" s="7" t="n">
        <v>15</v>
      </c>
      <c r="H27" s="51">
        <f>G27*IF(F27=1, 0.85, 0.8)</f>
        <v/>
      </c>
      <c r="I27" s="12" t="inlineStr">
        <is>
          <t>2-4</t>
        </is>
      </c>
      <c r="J27" s="7">
        <f>ROUNDUP(H27/17.2, 0)</f>
        <v/>
      </c>
      <c r="K27" s="51">
        <f>ROUND(TREND(G$3:G$32, E$3:E$32, E27), 1)</f>
        <v/>
      </c>
      <c r="L27" s="51">
        <f>ROUND(TREND(G$3:G$32, B$3:E$32, B27:E27), 1)</f>
        <v/>
      </c>
      <c r="M27" s="51">
        <f>ROUND(TREND(G$3:G$32, B$3:F$32, B27:F27), 1)</f>
        <v/>
      </c>
      <c r="N27" s="7">
        <f>ROUNDUP(M27*IF(F27=1, 0.85, 0.8)/17.2, 0)</f>
        <v/>
      </c>
      <c r="O27" s="7">
        <f>ROUND(N27*70%, 0)</f>
        <v/>
      </c>
      <c r="P27" s="7">
        <f>MIN(ROUNDUP(N27*0.2, 0), MAX(0, N27 - O27))</f>
        <v/>
      </c>
      <c r="Q27" s="7">
        <f>IF(C27&gt;20, "Hủy slot (Mưa &gt; 20mm)", "Kích hoạt")</f>
        <v/>
      </c>
      <c r="R27" s="7">
        <f>IF(C27&gt;20, 0, P27)</f>
        <v/>
      </c>
      <c r="S27" s="52">
        <f>IF(C27&gt;20, P27*0.2*Y27, 0)</f>
        <v/>
      </c>
      <c r="T27" s="7">
        <f>MAX(0, J27 - O27 - R27)</f>
        <v/>
      </c>
      <c r="U27" s="7">
        <f>O27 + R27 + T27</f>
        <v/>
      </c>
      <c r="V27" s="7" t="n">
        <v>16</v>
      </c>
      <c r="W27" s="12" t="inlineStr">
        <is>
          <t>2-4</t>
        </is>
      </c>
      <c r="X27" s="7" t="n">
        <v>1</v>
      </c>
      <c r="Y27" s="53">
        <f>IF(OR(B27&gt;=34, F27=1), 11700000, 9000000)</f>
        <v/>
      </c>
      <c r="Z27" s="54" t="n">
        <v>1</v>
      </c>
      <c r="AA27" s="51">
        <f>AVERAGE(J24:J26)</f>
        <v/>
      </c>
      <c r="AB27" s="51">
        <f>ABS(J27 - AA27)</f>
        <v/>
      </c>
      <c r="AC27" s="7">
        <f>IF(OR(W27="8-10 (Lỗi)", W27="5-8 (Lỗi)"), "Loại", "Hợp lệ")</f>
        <v/>
      </c>
      <c r="AD27" s="53">
        <f>IF(AA27="", 0, IF(AA27&gt;J27, (AA27-J27)*2700000, 0))</f>
        <v/>
      </c>
      <c r="AE27" s="53">
        <f>IF(AA27="", 0, IF(J27&gt;AA27, (J27-AA27)*6000000, 0))</f>
        <v/>
      </c>
      <c r="AF27" s="53">
        <f>AD27 + AE27</f>
        <v/>
      </c>
      <c r="AG27" s="7">
        <f>ABS(U27 - J27)</f>
        <v/>
      </c>
      <c r="AH27" s="53">
        <f>IF(U27&gt;J27, (U27-J27)*2700000, 0)</f>
        <v/>
      </c>
      <c r="AI27" s="53">
        <f>IF(J27&gt;U27, (J27-U27)*6000000, 0)</f>
        <v/>
      </c>
      <c r="AJ27" s="53">
        <f>AH27 + AI27 + S27</f>
        <v/>
      </c>
    </row>
    <row r="28" ht="14.25" customHeight="1" s="38">
      <c r="A28" s="7" t="inlineStr">
        <is>
          <t>Ngày 26</t>
        </is>
      </c>
      <c r="B28" s="7" t="n">
        <v>30</v>
      </c>
      <c r="C28" s="7" t="n">
        <v>0</v>
      </c>
      <c r="D28" s="8" t="n">
        <v>1</v>
      </c>
      <c r="E28" s="7" t="n">
        <v>38</v>
      </c>
      <c r="F28" s="7" t="n">
        <v>1</v>
      </c>
      <c r="G28" s="7" t="n">
        <v>55</v>
      </c>
      <c r="H28" s="51">
        <f>G28*IF(F28=1, 0.85, 0.8)</f>
        <v/>
      </c>
      <c r="I28" s="12" t="inlineStr">
        <is>
          <t>2-4</t>
        </is>
      </c>
      <c r="J28" s="7">
        <f>ROUNDUP(H28/17.2, 0)</f>
        <v/>
      </c>
      <c r="K28" s="51">
        <f>ROUND(TREND(G$3:G$32, E$3:E$32, E28), 1)</f>
        <v/>
      </c>
      <c r="L28" s="51">
        <f>ROUND(TREND(G$3:G$32, B$3:E$32, B28:E28), 1)</f>
        <v/>
      </c>
      <c r="M28" s="51">
        <f>ROUND(TREND(G$3:G$32, B$3:F$32, B28:F28), 1)</f>
        <v/>
      </c>
      <c r="N28" s="7">
        <f>ROUNDUP(M28*IF(F28=1, 0.85, 0.8)/17.2, 0)</f>
        <v/>
      </c>
      <c r="O28" s="7">
        <f>ROUND(N28*70%, 0)</f>
        <v/>
      </c>
      <c r="P28" s="7">
        <f>MIN(ROUNDUP(N28*0.2, 0), MAX(0, N28 - O28))</f>
        <v/>
      </c>
      <c r="Q28" s="7">
        <f>IF(C28&gt;20, "Hủy slot (Mưa &gt; 20mm)", "Kích hoạt")</f>
        <v/>
      </c>
      <c r="R28" s="7">
        <f>IF(C28&gt;20, 0, P28)</f>
        <v/>
      </c>
      <c r="S28" s="52">
        <f>IF(C28&gt;20, P28*0.2*Y28, 0)</f>
        <v/>
      </c>
      <c r="T28" s="7">
        <f>MAX(0, J28 - O28 - R28)</f>
        <v/>
      </c>
      <c r="U28" s="7">
        <f>O28 + R28 + T28</f>
        <v/>
      </c>
      <c r="V28" s="7" t="n">
        <v>12</v>
      </c>
      <c r="W28" s="12" t="inlineStr">
        <is>
          <t>2-4</t>
        </is>
      </c>
      <c r="X28" s="7" t="n">
        <v>6</v>
      </c>
      <c r="Y28" s="53">
        <f>IF(OR(B28&gt;=34, F28=1), 11700000, 9000000)</f>
        <v/>
      </c>
      <c r="Z28" s="54" t="n">
        <v>6</v>
      </c>
      <c r="AA28" s="51">
        <f>AVERAGE(J25:J27)</f>
        <v/>
      </c>
      <c r="AB28" s="51">
        <f>ABS(J28 - AA28)</f>
        <v/>
      </c>
      <c r="AC28" s="7">
        <f>IF(OR(W28="8-10 (Lỗi)", W28="5-8 (Lỗi)"), "Loại", "Hợp lệ")</f>
        <v/>
      </c>
      <c r="AD28" s="53">
        <f>IF(AA28="", 0, IF(AA28&gt;J28, (AA28-J28)*2700000, 0))</f>
        <v/>
      </c>
      <c r="AE28" s="53">
        <f>IF(AA28="", 0, IF(J28&gt;AA28, (J28-AA28)*6000000, 0))</f>
        <v/>
      </c>
      <c r="AF28" s="53">
        <f>AD28 + AE28</f>
        <v/>
      </c>
      <c r="AG28" s="7">
        <f>ABS(U28 - J28)</f>
        <v/>
      </c>
      <c r="AH28" s="53">
        <f>IF(U28&gt;J28, (U28-J28)*2700000, 0)</f>
        <v/>
      </c>
      <c r="AI28" s="53">
        <f>IF(J28&gt;U28, (J28-U28)*6000000, 0)</f>
        <v/>
      </c>
      <c r="AJ28" s="53">
        <f>AH28 + AI28 + S28</f>
        <v/>
      </c>
    </row>
    <row r="29" ht="14.25" customHeight="1" s="38">
      <c r="A29" s="7" t="inlineStr">
        <is>
          <t>Ngày 27</t>
        </is>
      </c>
      <c r="B29" s="7" t="n">
        <v>32</v>
      </c>
      <c r="C29" s="7" t="n">
        <v>0</v>
      </c>
      <c r="D29" s="8" t="n">
        <v>1</v>
      </c>
      <c r="E29" s="7" t="n">
        <v>32</v>
      </c>
      <c r="F29" s="7" t="n">
        <v>1</v>
      </c>
      <c r="G29" s="7" t="n">
        <v>40</v>
      </c>
      <c r="H29" s="51">
        <f>G29*IF(F29=1, 0.85, 0.8)</f>
        <v/>
      </c>
      <c r="I29" s="12" t="inlineStr">
        <is>
          <t>2-4</t>
        </is>
      </c>
      <c r="J29" s="7">
        <f>ROUNDUP(H29/17.2, 0)</f>
        <v/>
      </c>
      <c r="K29" s="51">
        <f>ROUND(TREND(G$3:G$32, E$3:E$32, E29), 1)</f>
        <v/>
      </c>
      <c r="L29" s="51">
        <f>ROUND(TREND(G$3:G$32, B$3:E$32, B29:E29), 1)</f>
        <v/>
      </c>
      <c r="M29" s="51">
        <f>ROUND(TREND(G$3:G$32, B$3:F$32, B29:F29), 1)</f>
        <v/>
      </c>
      <c r="N29" s="7">
        <f>ROUNDUP(M29*IF(F29=1, 0.85, 0.8)/17.2, 0)</f>
        <v/>
      </c>
      <c r="O29" s="7">
        <f>ROUND(N29*70%, 0)</f>
        <v/>
      </c>
      <c r="P29" s="7">
        <f>MIN(ROUNDUP(N29*0.2, 0), MAX(0, N29 - O29))</f>
        <v/>
      </c>
      <c r="Q29" s="7">
        <f>IF(C29&gt;20, "Hủy slot (Mưa &gt; 20mm)", "Kích hoạt")</f>
        <v/>
      </c>
      <c r="R29" s="7">
        <f>IF(C29&gt;20, 0, P29)</f>
        <v/>
      </c>
      <c r="S29" s="52">
        <f>IF(C29&gt;20, P29*0.2*Y29, 0)</f>
        <v/>
      </c>
      <c r="T29" s="7">
        <f>MAX(0, J29 - O29 - R29)</f>
        <v/>
      </c>
      <c r="U29" s="7">
        <f>O29 + R29 + T29</f>
        <v/>
      </c>
      <c r="V29" s="7" t="n">
        <v>12</v>
      </c>
      <c r="W29" s="12" t="inlineStr">
        <is>
          <t>2-4</t>
        </is>
      </c>
      <c r="X29" s="7" t="n">
        <v>3</v>
      </c>
      <c r="Y29" s="53">
        <f>IF(OR(B29&gt;=34, F29=1), 11700000, 9000000)</f>
        <v/>
      </c>
      <c r="Z29" s="54" t="n">
        <v>3</v>
      </c>
      <c r="AA29" s="51">
        <f>AVERAGE(J26:J28)</f>
        <v/>
      </c>
      <c r="AB29" s="51">
        <f>ABS(J29 - AA29)</f>
        <v/>
      </c>
      <c r="AC29" s="7">
        <f>IF(OR(W29="8-10 (Lỗi)", W29="5-8 (Lỗi)"), "Loại", "Hợp lệ")</f>
        <v/>
      </c>
      <c r="AD29" s="53">
        <f>IF(AA29="", 0, IF(AA29&gt;J29, (AA29-J29)*2700000, 0))</f>
        <v/>
      </c>
      <c r="AE29" s="53">
        <f>IF(AA29="", 0, IF(J29&gt;AA29, (J29-AA29)*6000000, 0))</f>
        <v/>
      </c>
      <c r="AF29" s="53">
        <f>AD29 + AE29</f>
        <v/>
      </c>
      <c r="AG29" s="7">
        <f>ABS(U29 - J29)</f>
        <v/>
      </c>
      <c r="AH29" s="53">
        <f>IF(U29&gt;J29, (U29-J29)*2700000, 0)</f>
        <v/>
      </c>
      <c r="AI29" s="53">
        <f>IF(J29&gt;U29, (J29-U29)*6000000, 0)</f>
        <v/>
      </c>
      <c r="AJ29" s="53">
        <f>AH29 + AI29 + S29</f>
        <v/>
      </c>
    </row>
    <row r="30" ht="14.25" customHeight="1" s="38">
      <c r="A30" s="7" t="inlineStr">
        <is>
          <t>Ngày 28</t>
        </is>
      </c>
      <c r="B30" s="7" t="n">
        <v>32</v>
      </c>
      <c r="C30" s="7" t="n">
        <v>0</v>
      </c>
      <c r="D30" s="8" t="n">
        <v>1</v>
      </c>
      <c r="E30" s="7" t="n">
        <v>25</v>
      </c>
      <c r="F30" s="7" t="n">
        <v>0</v>
      </c>
      <c r="G30" s="7" t="n">
        <v>35</v>
      </c>
      <c r="H30" s="51">
        <f>G30*IF(F30=1, 0.85, 0.8)</f>
        <v/>
      </c>
      <c r="I30" s="12" t="inlineStr">
        <is>
          <t>2-4</t>
        </is>
      </c>
      <c r="J30" s="7">
        <f>ROUNDUP(H30/17.2, 0)</f>
        <v/>
      </c>
      <c r="K30" s="51">
        <f>ROUND(TREND(G$3:G$32, E$3:E$32, E30), 1)</f>
        <v/>
      </c>
      <c r="L30" s="51">
        <f>ROUND(TREND(G$3:G$32, B$3:E$32, B30:E30), 1)</f>
        <v/>
      </c>
      <c r="M30" s="51">
        <f>ROUND(TREND(G$3:G$32, B$3:F$32, B30:F30), 1)</f>
        <v/>
      </c>
      <c r="N30" s="7">
        <f>ROUNDUP(M30*IF(F30=1, 0.85, 0.8)/17.2, 0)</f>
        <v/>
      </c>
      <c r="O30" s="7">
        <f>ROUND(N30*70%, 0)</f>
        <v/>
      </c>
      <c r="P30" s="7">
        <f>MIN(ROUNDUP(N30*0.2, 0), MAX(0, N30 - O30))</f>
        <v/>
      </c>
      <c r="Q30" s="7">
        <f>IF(C30&gt;20, "Hủy slot (Mưa &gt; 20mm)", "Kích hoạt")</f>
        <v/>
      </c>
      <c r="R30" s="7">
        <f>IF(C30&gt;20, 0, P30)</f>
        <v/>
      </c>
      <c r="S30" s="52">
        <f>IF(C30&gt;20, P30*0.2*Y30, 0)</f>
        <v/>
      </c>
      <c r="T30" s="7">
        <f>MAX(0, J30 - O30 - R30)</f>
        <v/>
      </c>
      <c r="U30" s="7">
        <f>O30 + R30 + T30</f>
        <v/>
      </c>
      <c r="V30" s="7" t="n">
        <v>15</v>
      </c>
      <c r="W30" s="12" t="inlineStr">
        <is>
          <t>2-4</t>
        </is>
      </c>
      <c r="X30" s="7" t="n">
        <v>2</v>
      </c>
      <c r="Y30" s="53">
        <f>IF(OR(B30&gt;=34, F30=1), 11700000, 9000000)</f>
        <v/>
      </c>
      <c r="Z30" s="54" t="n">
        <v>2</v>
      </c>
      <c r="AA30" s="51">
        <f>AVERAGE(J27:J29)</f>
        <v/>
      </c>
      <c r="AB30" s="51">
        <f>ABS(J30 - AA30)</f>
        <v/>
      </c>
      <c r="AC30" s="7">
        <f>IF(OR(W30="8-10 (Lỗi)", W30="5-8 (Lỗi)"), "Loại", "Hợp lệ")</f>
        <v/>
      </c>
      <c r="AD30" s="53">
        <f>IF(AA30="", 0, IF(AA30&gt;J30, (AA30-J30)*2700000, 0))</f>
        <v/>
      </c>
      <c r="AE30" s="53">
        <f>IF(AA30="", 0, IF(J30&gt;AA30, (J30-AA30)*6000000, 0))</f>
        <v/>
      </c>
      <c r="AF30" s="53">
        <f>AD30 + AE30</f>
        <v/>
      </c>
      <c r="AG30" s="7">
        <f>ABS(U30 - J30)</f>
        <v/>
      </c>
      <c r="AH30" s="53">
        <f>IF(U30&gt;J30, (U30-J30)*2700000, 0)</f>
        <v/>
      </c>
      <c r="AI30" s="53">
        <f>IF(J30&gt;U30, (J30-U30)*6000000, 0)</f>
        <v/>
      </c>
      <c r="AJ30" s="53">
        <f>AH30 + AI30 + S30</f>
        <v/>
      </c>
    </row>
    <row r="31" ht="14.25" customHeight="1" s="38">
      <c r="A31" s="7" t="inlineStr">
        <is>
          <t>Ngày 29</t>
        </is>
      </c>
      <c r="B31" s="7" t="n">
        <v>30</v>
      </c>
      <c r="C31" s="7" t="n">
        <v>10</v>
      </c>
      <c r="D31" s="8" t="n">
        <v>1</v>
      </c>
      <c r="E31" s="7" t="n">
        <v>18</v>
      </c>
      <c r="F31" s="7" t="n">
        <v>0</v>
      </c>
      <c r="G31" s="7" t="n">
        <v>25</v>
      </c>
      <c r="H31" s="51">
        <f>G31*IF(F31=1, 0.85, 0.8)</f>
        <v/>
      </c>
      <c r="I31" s="12" t="inlineStr">
        <is>
          <t>2-4</t>
        </is>
      </c>
      <c r="J31" s="7">
        <f>ROUNDUP(H31/17.2, 0)</f>
        <v/>
      </c>
      <c r="K31" s="51">
        <f>ROUND(TREND(G$3:G$32, E$3:E$32, E31), 1)</f>
        <v/>
      </c>
      <c r="L31" s="51">
        <f>ROUND(TREND(G$3:G$32, B$3:E$32, B31:E31), 1)</f>
        <v/>
      </c>
      <c r="M31" s="51">
        <f>ROUND(TREND(G$3:G$32, B$3:F$32, B31:F31), 1)</f>
        <v/>
      </c>
      <c r="N31" s="7">
        <f>ROUNDUP(M31*IF(F31=1, 0.85, 0.8)/17.2, 0)</f>
        <v/>
      </c>
      <c r="O31" s="7">
        <f>ROUND(N31*70%, 0)</f>
        <v/>
      </c>
      <c r="P31" s="7">
        <f>MIN(ROUNDUP(N31*0.2, 0), MAX(0, N31 - O31))</f>
        <v/>
      </c>
      <c r="Q31" s="7">
        <f>IF(C31&gt;20, "Hủy slot (Mưa &gt; 20mm)", "Kích hoạt")</f>
        <v/>
      </c>
      <c r="R31" s="7">
        <f>IF(C31&gt;20, 0, P31)</f>
        <v/>
      </c>
      <c r="S31" s="52">
        <f>IF(C31&gt;20, P31*0.2*Y31, 0)</f>
        <v/>
      </c>
      <c r="T31" s="7">
        <f>MAX(0, J31 - O31 - R31)</f>
        <v/>
      </c>
      <c r="U31" s="7">
        <f>O31 + R31 + T31</f>
        <v/>
      </c>
      <c r="V31" s="7" t="n">
        <v>15</v>
      </c>
      <c r="W31" s="12" t="inlineStr">
        <is>
          <t>2-4</t>
        </is>
      </c>
      <c r="X31" s="7" t="n">
        <v>1</v>
      </c>
      <c r="Y31" s="53">
        <f>IF(OR(B31&gt;=34, F31=1), 11700000, 9000000)</f>
        <v/>
      </c>
      <c r="Z31" s="54" t="n">
        <v>2</v>
      </c>
      <c r="AA31" s="51">
        <f>AVERAGE(J28:J30)</f>
        <v/>
      </c>
      <c r="AB31" s="51">
        <f>ABS(J31 - AA31)</f>
        <v/>
      </c>
      <c r="AC31" s="7">
        <f>IF(OR(W31="8-10 (Lỗi)", W31="5-8 (Lỗi)"), "Loại", "Hợp lệ")</f>
        <v/>
      </c>
      <c r="AD31" s="53">
        <f>IF(AA31="", 0, IF(AA31&gt;J31, (AA31-J31)*2700000, 0))</f>
        <v/>
      </c>
      <c r="AE31" s="53">
        <f>IF(AA31="", 0, IF(J31&gt;AA31, (J31-AA31)*6000000, 0))</f>
        <v/>
      </c>
      <c r="AF31" s="53">
        <f>AD31 + AE31</f>
        <v/>
      </c>
      <c r="AG31" s="7">
        <f>ABS(U31 - J31)</f>
        <v/>
      </c>
      <c r="AH31" s="53">
        <f>IF(U31&gt;J31, (U31-J31)*2700000, 0)</f>
        <v/>
      </c>
      <c r="AI31" s="53">
        <f>IF(J31&gt;U31, (J31-U31)*6000000, 0)</f>
        <v/>
      </c>
      <c r="AJ31" s="53">
        <f>AH31 + AI31 + S31</f>
        <v/>
      </c>
    </row>
    <row r="32" ht="14.25" customHeight="1" s="38">
      <c r="A32" s="7" t="inlineStr">
        <is>
          <t>Ngày 30</t>
        </is>
      </c>
      <c r="B32" s="7" t="n">
        <v>31</v>
      </c>
      <c r="C32" s="7" t="n">
        <v>0</v>
      </c>
      <c r="D32" s="8" t="n">
        <v>1</v>
      </c>
      <c r="E32" s="7" t="n">
        <v>12</v>
      </c>
      <c r="F32" s="7" t="n">
        <v>0</v>
      </c>
      <c r="G32" s="7" t="n">
        <v>15</v>
      </c>
      <c r="H32" s="51">
        <f>G32*IF(F32=1, 0.85, 0.8)</f>
        <v/>
      </c>
      <c r="I32" s="12" t="inlineStr">
        <is>
          <t>2-4</t>
        </is>
      </c>
      <c r="J32" s="7">
        <f>ROUNDUP(H32/17.2, 0)</f>
        <v/>
      </c>
      <c r="K32" s="51">
        <f>ROUND(TREND(G$3:G$32, E$3:E$32, E32), 1)</f>
        <v/>
      </c>
      <c r="L32" s="51">
        <f>ROUND(TREND(G$3:G$32, B$3:E$32, B32:E32), 1)</f>
        <v/>
      </c>
      <c r="M32" s="51">
        <f>ROUND(TREND(G$3:G$32, B$3:F$32, B32:F32), 1)</f>
        <v/>
      </c>
      <c r="N32" s="7">
        <f>ROUNDUP(M32*IF(F32=1, 0.85, 0.8)/17.2, 0)</f>
        <v/>
      </c>
      <c r="O32" s="7">
        <f>ROUND(N32*70%, 0)</f>
        <v/>
      </c>
      <c r="P32" s="7">
        <f>MIN(ROUNDUP(N32*0.2, 0), MAX(0, N32 - O32))</f>
        <v/>
      </c>
      <c r="Q32" s="7">
        <f>IF(C32&gt;20, "Hủy slot (Mưa &gt; 20mm)", "Kích hoạt")</f>
        <v/>
      </c>
      <c r="R32" s="7">
        <f>IF(C32&gt;20, 0, P32)</f>
        <v/>
      </c>
      <c r="S32" s="52">
        <f>IF(C32&gt;20, P32*0.2*Y32, 0)</f>
        <v/>
      </c>
      <c r="T32" s="7">
        <f>MAX(0, J32 - O32 - R32)</f>
        <v/>
      </c>
      <c r="U32" s="7">
        <f>O32 + R32 + T32</f>
        <v/>
      </c>
      <c r="V32" s="7" t="n">
        <v>15</v>
      </c>
      <c r="W32" s="12" t="inlineStr">
        <is>
          <t>2-4</t>
        </is>
      </c>
      <c r="X32" s="7" t="n">
        <v>1</v>
      </c>
      <c r="Y32" s="53">
        <f>IF(OR(B32&gt;=34, F32=1), 11700000, 9000000)</f>
        <v/>
      </c>
      <c r="Z32" s="54" t="n">
        <v>1</v>
      </c>
      <c r="AA32" s="51">
        <f>AVERAGE(J29:J31)</f>
        <v/>
      </c>
      <c r="AB32" s="51">
        <f>ABS(J32 - AA32)</f>
        <v/>
      </c>
      <c r="AC32" s="7">
        <f>IF(OR(W32="8-10 (Lỗi)", W32="5-8 (Lỗi)"), "Loại", "Hợp lệ")</f>
        <v/>
      </c>
      <c r="AD32" s="53">
        <f>IF(AA32="", 0, IF(AA32&gt;J32, (AA32-J32)*2700000, 0))</f>
        <v/>
      </c>
      <c r="AE32" s="53">
        <f>IF(AA32="", 0, IF(J32&gt;AA32, (J32-AA32)*6000000, 0))</f>
        <v/>
      </c>
      <c r="AF32" s="53">
        <f>AD32 + AE32</f>
        <v/>
      </c>
      <c r="AG32" s="7">
        <f>ABS(U32 - J32)</f>
        <v/>
      </c>
      <c r="AH32" s="53">
        <f>IF(U32&gt;J32, (U32-J32)*2700000, 0)</f>
        <v/>
      </c>
      <c r="AI32" s="53">
        <f>IF(J32&gt;U32, (J32-U32)*6000000, 0)</f>
        <v/>
      </c>
      <c r="AJ32" s="53">
        <f>AH32 + AI32 + S32</f>
        <v/>
      </c>
    </row>
    <row r="33" ht="12.75" customHeight="1" s="38">
      <c r="W33" s="30" t="n"/>
    </row>
    <row r="34" ht="15" customHeight="1" s="38">
      <c r="B34" s="45" t="inlineStr">
        <is>
          <t>BẢNG TỔNG HỢP KPI SO SÁNH HIỆU QUẢ: MÔ HÌNH NỀN (BASELINE) VS. MÔ HÌNH FROSTLINK</t>
        </is>
      </c>
      <c r="C34" s="46" t="n"/>
      <c r="D34" s="46" t="n"/>
      <c r="E34" s="46" t="n"/>
      <c r="F34" s="47" t="n"/>
      <c r="W34" s="30" t="n"/>
    </row>
    <row r="35" ht="12.75" customHeight="1" s="38">
      <c r="B35" s="22" t="inlineStr">
        <is>
          <t>Chỉ số KPI Đánh giá</t>
        </is>
      </c>
      <c r="C35" s="22" t="inlineStr">
        <is>
          <t>Mô hình nền (Baseline)</t>
        </is>
      </c>
      <c r="D35" s="22" t="inlineStr">
        <is>
          <t>Mô hình FrostLink (Đề xuất)</t>
        </is>
      </c>
      <c r="E35" s="22" t="inlineStr">
        <is>
          <t>Chênh lệch (Mức giảm)</t>
        </is>
      </c>
      <c r="F35" s="22" t="inlineStr">
        <is>
          <t>Tỷ lệ cải thiện (%)</t>
        </is>
      </c>
      <c r="W35" s="30" t="n"/>
    </row>
    <row r="36" ht="12.75" customHeight="1" s="38">
      <c r="B36" s="22" t="inlineStr">
        <is>
          <t>Sai số số xe trung bình (Truck MAE - Xe/ngày)</t>
        </is>
      </c>
      <c r="C36" s="23">
        <f>AVERAGE(AB6:AB32)</f>
        <v/>
      </c>
      <c r="D36" s="23">
        <f>AVERAGE(AG6:AG32)</f>
        <v/>
      </c>
      <c r="E36" s="23">
        <f>C36 - D36</f>
        <v/>
      </c>
      <c r="F36" s="24">
        <f>(C36 - D36) / C36</f>
        <v/>
      </c>
      <c r="W36" s="30" t="n"/>
    </row>
    <row r="37" ht="12.75" customHeight="1" s="38">
      <c r="B37" s="22" t="inlineStr">
        <is>
          <t>Sai số phần trăm có trọng số (Truck WAPE)</t>
        </is>
      </c>
      <c r="C37" s="24">
        <f>SUM(AB6:AB32) / SUM(J6:J32)</f>
        <v/>
      </c>
      <c r="D37" s="24">
        <f>SUM(AG6:AG32) / SUM(J6:J32)</f>
        <v/>
      </c>
      <c r="E37" s="24">
        <f>C37 - D37</f>
        <v/>
      </c>
      <c r="F37" s="24">
        <f>(C37 - D37) / C37</f>
        <v/>
      </c>
      <c r="W37" s="30" t="n"/>
    </row>
    <row r="38" ht="12.75" customHeight="1" s="38">
      <c r="B38" s="22" t="inlineStr">
        <is>
          <t>Sai số sản lượng MAE (Tấn/ngày)</t>
        </is>
      </c>
      <c r="C38" s="23">
        <f>AVERAGE(AB6:AB32) * 17.2</f>
        <v/>
      </c>
      <c r="D38" s="23">
        <f>D36 * 17.2</f>
        <v/>
      </c>
      <c r="E38" s="23">
        <f>C38 - D38</f>
        <v/>
      </c>
      <c r="F38" s="24">
        <f>(C38 - D38) / C38</f>
        <v/>
      </c>
      <c r="W38" s="30" t="n"/>
    </row>
    <row r="39" ht="12.75" customHeight="1" s="38">
      <c r="B39" s="22" t="inlineStr">
        <is>
          <t>Tổng chi phí thừa xe C_over (VNĐ)</t>
        </is>
      </c>
      <c r="C39" s="48">
        <f>SUM(AD3:AD32)</f>
        <v/>
      </c>
      <c r="D39" s="48">
        <f>SUM(AH3:AH32)</f>
        <v/>
      </c>
      <c r="E39" s="48">
        <f>C39 - D39</f>
        <v/>
      </c>
      <c r="F39" s="24">
        <f>IF(C39=0, 0, (C39 - D39) / C39)</f>
        <v/>
      </c>
      <c r="W39" s="30" t="n"/>
    </row>
    <row r="40" ht="12.75" customHeight="1" s="38">
      <c r="B40" s="22" t="inlineStr">
        <is>
          <t>Tổng chi phí thiếu xe C_under (VNĐ)</t>
        </is>
      </c>
      <c r="C40" s="48">
        <f>SUM(AE3:AE32)</f>
        <v/>
      </c>
      <c r="D40" s="48">
        <f>SUM(AI3:AI32)</f>
        <v/>
      </c>
      <c r="E40" s="48">
        <f>C40 - D40</f>
        <v/>
      </c>
      <c r="F40" s="24">
        <f>IF(C40=0, 0, (C40 - D40) / C40)</f>
        <v/>
      </c>
      <c r="W40" s="30" t="n"/>
    </row>
    <row r="41" ht="12.75" customHeight="1" s="38">
      <c r="B41" s="22" t="inlineStr">
        <is>
          <t>Chi phí phạt hủy cọc Lớp 2 (VNĐ)</t>
        </is>
      </c>
      <c r="C41" s="48" t="n">
        <v>0</v>
      </c>
      <c r="D41" s="48">
        <f>SUM(S3:S32)</f>
        <v/>
      </c>
      <c r="E41" s="48">
        <f>C41 - D41</f>
        <v/>
      </c>
      <c r="F41" s="26">
        <f>IF(C41=0, "N/A", (C41-D41)/C41)</f>
        <v/>
      </c>
      <c r="W41" s="30" t="n"/>
    </row>
    <row r="42" ht="12.75" customHeight="1" s="38">
      <c r="B42" s="27" t="inlineStr">
        <is>
          <t>TỔNG CHI PHÍ RỦI RO CHUỖI LẠNH (VNĐ)</t>
        </is>
      </c>
      <c r="C42" s="49">
        <f>SUM(AF3:AF32)</f>
        <v/>
      </c>
      <c r="D42" s="49">
        <f>SUM(AJ3:AJ32)</f>
        <v/>
      </c>
      <c r="E42" s="49">
        <f>C42 - D42</f>
        <v/>
      </c>
      <c r="F42" s="29">
        <f>(C42 - D42) / C42</f>
        <v/>
      </c>
      <c r="W42" s="30" t="n"/>
    </row>
    <row r="43" ht="12.75" customHeight="1" s="38">
      <c r="W43" s="30" t="n"/>
    </row>
    <row r="44" ht="12.75" customHeight="1" s="38">
      <c r="W44" s="30" t="n"/>
    </row>
    <row r="45" ht="12.75" customHeight="1" s="38">
      <c r="W45" s="30" t="n"/>
    </row>
    <row r="46" ht="12.75" customHeight="1" s="38">
      <c r="W46" s="30" t="n"/>
    </row>
    <row r="47" ht="12.75" customHeight="1" s="38">
      <c r="W47" s="30" t="n"/>
    </row>
    <row r="48" ht="12.75" customHeight="1" s="38">
      <c r="W48" s="30" t="n"/>
    </row>
    <row r="49" ht="12.75" customHeight="1" s="38">
      <c r="W49" s="30" t="n"/>
    </row>
    <row r="50" ht="12.75" customHeight="1" s="38">
      <c r="W50" s="30" t="n"/>
    </row>
    <row r="51" ht="12.75" customHeight="1" s="38">
      <c r="W51" s="30" t="n"/>
    </row>
    <row r="52" ht="12.75" customHeight="1" s="38">
      <c r="W52" s="30" t="n"/>
    </row>
    <row r="53" ht="12.75" customHeight="1" s="38">
      <c r="W53" s="30" t="n"/>
    </row>
    <row r="54" ht="12.75" customHeight="1" s="38">
      <c r="W54" s="30" t="n"/>
    </row>
    <row r="55" ht="12.75" customHeight="1" s="38">
      <c r="W55" s="30" t="n"/>
    </row>
    <row r="56" ht="12.75" customHeight="1" s="38">
      <c r="W56" s="30" t="n"/>
    </row>
    <row r="57" ht="12.75" customHeight="1" s="38">
      <c r="W57" s="30" t="n"/>
    </row>
    <row r="58" ht="12.75" customHeight="1" s="38">
      <c r="W58" s="30" t="n"/>
    </row>
    <row r="59" ht="12.75" customHeight="1" s="38">
      <c r="W59" s="30" t="n"/>
    </row>
    <row r="60" ht="12.75" customHeight="1" s="38">
      <c r="W60" s="30" t="n"/>
    </row>
    <row r="61" ht="12.75" customHeight="1" s="38">
      <c r="W61" s="30" t="n"/>
    </row>
    <row r="62" ht="12.75" customHeight="1" s="38">
      <c r="W62" s="30" t="n"/>
    </row>
    <row r="63" ht="12.75" customHeight="1" s="38">
      <c r="W63" s="30" t="n"/>
    </row>
    <row r="64" ht="12.75" customHeight="1" s="38">
      <c r="W64" s="30" t="n"/>
    </row>
    <row r="65" ht="12.75" customHeight="1" s="38">
      <c r="W65" s="30" t="n"/>
    </row>
    <row r="66" ht="12.75" customHeight="1" s="38">
      <c r="W66" s="30" t="n"/>
    </row>
    <row r="67" ht="12.75" customHeight="1" s="38">
      <c r="W67" s="30" t="n"/>
    </row>
    <row r="68" ht="12.75" customHeight="1" s="38">
      <c r="W68" s="30" t="n"/>
    </row>
    <row r="69" ht="12.75" customHeight="1" s="38">
      <c r="W69" s="30" t="n"/>
    </row>
    <row r="70" ht="12.75" customHeight="1" s="38">
      <c r="W70" s="30" t="n"/>
    </row>
    <row r="71" ht="12.75" customHeight="1" s="38">
      <c r="W71" s="30" t="n"/>
    </row>
    <row r="72" ht="12.75" customHeight="1" s="38">
      <c r="W72" s="30" t="n"/>
    </row>
    <row r="73" ht="12.75" customHeight="1" s="38">
      <c r="W73" s="30" t="n"/>
    </row>
    <row r="74" ht="12.75" customHeight="1" s="38">
      <c r="W74" s="30" t="n"/>
    </row>
    <row r="75" ht="12.75" customHeight="1" s="38">
      <c r="W75" s="30" t="n"/>
    </row>
    <row r="76" ht="12.75" customHeight="1" s="38">
      <c r="W76" s="30" t="n"/>
    </row>
    <row r="77" ht="12.75" customHeight="1" s="38">
      <c r="W77" s="30" t="n"/>
    </row>
    <row r="78" ht="12.75" customHeight="1" s="38">
      <c r="W78" s="30" t="n"/>
    </row>
    <row r="79" ht="12.75" customHeight="1" s="38">
      <c r="W79" s="30" t="n"/>
    </row>
    <row r="80" ht="12.75" customHeight="1" s="38">
      <c r="W80" s="30" t="n"/>
    </row>
    <row r="81" ht="12.75" customHeight="1" s="38">
      <c r="W81" s="30" t="n"/>
    </row>
    <row r="82" ht="12.75" customHeight="1" s="38">
      <c r="W82" s="30" t="n"/>
    </row>
    <row r="83" ht="12.75" customHeight="1" s="38">
      <c r="W83" s="30" t="n"/>
    </row>
    <row r="84" ht="12.75" customHeight="1" s="38">
      <c r="W84" s="30" t="n"/>
    </row>
    <row r="85" ht="12.75" customHeight="1" s="38">
      <c r="W85" s="30" t="n"/>
    </row>
    <row r="86" ht="12.75" customHeight="1" s="38">
      <c r="W86" s="30" t="n"/>
    </row>
    <row r="87" ht="12.75" customHeight="1" s="38">
      <c r="W87" s="30" t="n"/>
    </row>
    <row r="88" ht="12.75" customHeight="1" s="38">
      <c r="W88" s="30" t="n"/>
    </row>
    <row r="89" ht="12.75" customHeight="1" s="38">
      <c r="W89" s="30" t="n"/>
    </row>
    <row r="90" ht="12.75" customHeight="1" s="38">
      <c r="W90" s="30" t="n"/>
    </row>
    <row r="91" ht="12.75" customHeight="1" s="38">
      <c r="W91" s="30" t="n"/>
    </row>
    <row r="92" ht="12.75" customHeight="1" s="38">
      <c r="W92" s="30" t="n"/>
    </row>
    <row r="93" ht="12.75" customHeight="1" s="38">
      <c r="W93" s="30" t="n"/>
    </row>
    <row r="94" ht="12.75" customHeight="1" s="38">
      <c r="W94" s="30" t="n"/>
    </row>
    <row r="95" ht="12.75" customHeight="1" s="38">
      <c r="W95" s="30" t="n"/>
    </row>
    <row r="96" ht="12.75" customHeight="1" s="38">
      <c r="W96" s="30" t="n"/>
    </row>
    <row r="97" ht="12.75" customHeight="1" s="38">
      <c r="W97" s="30" t="n"/>
    </row>
    <row r="98" ht="12.75" customHeight="1" s="38">
      <c r="W98" s="30" t="n"/>
    </row>
    <row r="99" ht="12.75" customHeight="1" s="38">
      <c r="W99" s="30" t="n"/>
    </row>
    <row r="100" ht="12.75" customHeight="1" s="38">
      <c r="W100" s="30" t="n"/>
    </row>
    <row r="101" ht="12.75" customHeight="1" s="38">
      <c r="W101" s="30" t="n"/>
    </row>
    <row r="102" ht="12.75" customHeight="1" s="38">
      <c r="W102" s="30" t="n"/>
    </row>
    <row r="103" ht="12.75" customHeight="1" s="38">
      <c r="W103" s="30" t="n"/>
    </row>
    <row r="104" ht="12.75" customHeight="1" s="38">
      <c r="W104" s="30" t="n"/>
    </row>
    <row r="105" ht="12.75" customHeight="1" s="38">
      <c r="W105" s="30" t="n"/>
    </row>
    <row r="106" ht="12.75" customHeight="1" s="38">
      <c r="W106" s="30" t="n"/>
    </row>
    <row r="107" ht="12.75" customHeight="1" s="38">
      <c r="W107" s="30" t="n"/>
    </row>
    <row r="108" ht="12.75" customHeight="1" s="38">
      <c r="W108" s="30" t="n"/>
    </row>
    <row r="109" ht="12.75" customHeight="1" s="38">
      <c r="W109" s="30" t="n"/>
    </row>
    <row r="110" ht="12.75" customHeight="1" s="38">
      <c r="W110" s="30" t="n"/>
    </row>
    <row r="111" ht="12.75" customHeight="1" s="38">
      <c r="W111" s="30" t="n"/>
    </row>
    <row r="112" ht="12.75" customHeight="1" s="38">
      <c r="W112" s="30" t="n"/>
    </row>
    <row r="113" ht="12.75" customHeight="1" s="38">
      <c r="W113" s="30" t="n"/>
    </row>
    <row r="114" ht="12.75" customHeight="1" s="38">
      <c r="W114" s="30" t="n"/>
    </row>
    <row r="115" ht="12.75" customHeight="1" s="38">
      <c r="W115" s="30" t="n"/>
    </row>
    <row r="116" ht="12.75" customHeight="1" s="38">
      <c r="W116" s="30" t="n"/>
    </row>
    <row r="117" ht="12.75" customHeight="1" s="38">
      <c r="W117" s="30" t="n"/>
    </row>
    <row r="118" ht="12.75" customHeight="1" s="38">
      <c r="W118" s="30" t="n"/>
    </row>
    <row r="119" ht="12.75" customHeight="1" s="38">
      <c r="W119" s="30" t="n"/>
    </row>
    <row r="120" ht="12.75" customHeight="1" s="38">
      <c r="W120" s="30" t="n"/>
    </row>
    <row r="121" ht="12.75" customHeight="1" s="38">
      <c r="W121" s="30" t="n"/>
    </row>
    <row r="122" ht="12.75" customHeight="1" s="38">
      <c r="W122" s="30" t="n"/>
    </row>
    <row r="123" ht="12.75" customHeight="1" s="38">
      <c r="W123" s="30" t="n"/>
    </row>
    <row r="124" ht="12.75" customHeight="1" s="38">
      <c r="W124" s="30" t="n"/>
    </row>
    <row r="125" ht="12.75" customHeight="1" s="38">
      <c r="W125" s="30" t="n"/>
    </row>
    <row r="126" ht="12.75" customHeight="1" s="38">
      <c r="W126" s="30" t="n"/>
    </row>
    <row r="127" ht="12.75" customHeight="1" s="38">
      <c r="W127" s="30" t="n"/>
    </row>
    <row r="128" ht="12.75" customHeight="1" s="38">
      <c r="W128" s="30" t="n"/>
    </row>
    <row r="129" ht="12.75" customHeight="1" s="38">
      <c r="W129" s="30" t="n"/>
    </row>
    <row r="130" ht="12.75" customHeight="1" s="38">
      <c r="W130" s="30" t="n"/>
    </row>
    <row r="131" ht="12.75" customHeight="1" s="38">
      <c r="W131" s="30" t="n"/>
    </row>
    <row r="132" ht="12.75" customHeight="1" s="38">
      <c r="W132" s="30" t="n"/>
    </row>
    <row r="133" ht="12.75" customHeight="1" s="38">
      <c r="W133" s="30" t="n"/>
    </row>
    <row r="134" ht="12.75" customHeight="1" s="38">
      <c r="W134" s="30" t="n"/>
    </row>
    <row r="135" ht="12.75" customHeight="1" s="38">
      <c r="W135" s="30" t="n"/>
    </row>
    <row r="136" ht="12.75" customHeight="1" s="38">
      <c r="W136" s="30" t="n"/>
    </row>
    <row r="137" ht="12.75" customHeight="1" s="38">
      <c r="W137" s="30" t="n"/>
    </row>
    <row r="138" ht="12.75" customHeight="1" s="38">
      <c r="W138" s="30" t="n"/>
    </row>
    <row r="139" ht="12.75" customHeight="1" s="38">
      <c r="W139" s="30" t="n"/>
    </row>
    <row r="140" ht="12.75" customHeight="1" s="38">
      <c r="W140" s="30" t="n"/>
    </row>
    <row r="141" ht="12.75" customHeight="1" s="38">
      <c r="W141" s="30" t="n"/>
    </row>
    <row r="142" ht="12.75" customHeight="1" s="38">
      <c r="W142" s="30" t="n"/>
    </row>
    <row r="143" ht="12.75" customHeight="1" s="38">
      <c r="W143" s="30" t="n"/>
    </row>
    <row r="144" ht="12.75" customHeight="1" s="38">
      <c r="W144" s="30" t="n"/>
    </row>
    <row r="145" ht="12.75" customHeight="1" s="38">
      <c r="W145" s="30" t="n"/>
    </row>
    <row r="146" ht="12.75" customHeight="1" s="38">
      <c r="W146" s="30" t="n"/>
    </row>
    <row r="147" ht="12.75" customHeight="1" s="38">
      <c r="W147" s="30" t="n"/>
    </row>
    <row r="148" ht="12.75" customHeight="1" s="38">
      <c r="W148" s="30" t="n"/>
    </row>
    <row r="149" ht="12.75" customHeight="1" s="38">
      <c r="W149" s="30" t="n"/>
    </row>
    <row r="150" ht="12.75" customHeight="1" s="38">
      <c r="W150" s="30" t="n"/>
    </row>
    <row r="151" ht="12.75" customHeight="1" s="38">
      <c r="W151" s="30" t="n"/>
    </row>
    <row r="152" ht="12.75" customHeight="1" s="38">
      <c r="W152" s="30" t="n"/>
    </row>
    <row r="153" ht="12.75" customHeight="1" s="38">
      <c r="W153" s="30" t="n"/>
    </row>
    <row r="154" ht="12.75" customHeight="1" s="38">
      <c r="W154" s="30" t="n"/>
    </row>
    <row r="155" ht="12.75" customHeight="1" s="38">
      <c r="W155" s="30" t="n"/>
    </row>
    <row r="156" ht="12.75" customHeight="1" s="38">
      <c r="W156" s="30" t="n"/>
    </row>
    <row r="157" ht="12.75" customHeight="1" s="38">
      <c r="W157" s="30" t="n"/>
    </row>
    <row r="158" ht="12.75" customHeight="1" s="38">
      <c r="W158" s="30" t="n"/>
    </row>
    <row r="159" ht="12.75" customHeight="1" s="38">
      <c r="W159" s="30" t="n"/>
    </row>
    <row r="160" ht="12.75" customHeight="1" s="38">
      <c r="W160" s="30" t="n"/>
    </row>
    <row r="161" ht="12.75" customHeight="1" s="38">
      <c r="W161" s="30" t="n"/>
    </row>
    <row r="162" ht="12.75" customHeight="1" s="38">
      <c r="W162" s="30" t="n"/>
    </row>
    <row r="163" ht="12.75" customHeight="1" s="38">
      <c r="W163" s="30" t="n"/>
    </row>
    <row r="164" ht="12.75" customHeight="1" s="38">
      <c r="W164" s="30" t="n"/>
    </row>
    <row r="165" ht="12.75" customHeight="1" s="38">
      <c r="W165" s="30" t="n"/>
    </row>
    <row r="166" ht="12.75" customHeight="1" s="38">
      <c r="W166" s="30" t="n"/>
    </row>
    <row r="167" ht="12.75" customHeight="1" s="38">
      <c r="W167" s="30" t="n"/>
    </row>
    <row r="168" ht="12.75" customHeight="1" s="38">
      <c r="W168" s="30" t="n"/>
    </row>
    <row r="169" ht="12.75" customHeight="1" s="38">
      <c r="W169" s="30" t="n"/>
    </row>
    <row r="170" ht="12.75" customHeight="1" s="38">
      <c r="W170" s="30" t="n"/>
    </row>
    <row r="171" ht="12.75" customHeight="1" s="38">
      <c r="W171" s="30" t="n"/>
    </row>
    <row r="172" ht="12.75" customHeight="1" s="38">
      <c r="W172" s="30" t="n"/>
    </row>
    <row r="173" ht="12.75" customHeight="1" s="38">
      <c r="W173" s="30" t="n"/>
    </row>
    <row r="174" ht="12.75" customHeight="1" s="38">
      <c r="W174" s="30" t="n"/>
    </row>
    <row r="175" ht="12.75" customHeight="1" s="38">
      <c r="W175" s="30" t="n"/>
    </row>
    <row r="176" ht="12.75" customHeight="1" s="38">
      <c r="W176" s="30" t="n"/>
    </row>
    <row r="177" ht="12.75" customHeight="1" s="38">
      <c r="W177" s="30" t="n"/>
    </row>
    <row r="178" ht="12.75" customHeight="1" s="38">
      <c r="W178" s="30" t="n"/>
    </row>
    <row r="179" ht="12.75" customHeight="1" s="38">
      <c r="W179" s="30" t="n"/>
    </row>
    <row r="180" ht="12.75" customHeight="1" s="38">
      <c r="W180" s="30" t="n"/>
    </row>
    <row r="181" ht="12.75" customHeight="1" s="38">
      <c r="W181" s="30" t="n"/>
    </row>
    <row r="182" ht="12.75" customHeight="1" s="38">
      <c r="W182" s="30" t="n"/>
    </row>
    <row r="183" ht="12.75" customHeight="1" s="38">
      <c r="W183" s="30" t="n"/>
    </row>
    <row r="184" ht="12.75" customHeight="1" s="38">
      <c r="W184" s="30" t="n"/>
    </row>
    <row r="185" ht="12.75" customHeight="1" s="38">
      <c r="W185" s="30" t="n"/>
    </row>
    <row r="186" ht="12.75" customHeight="1" s="38">
      <c r="W186" s="30" t="n"/>
    </row>
    <row r="187" ht="12.75" customHeight="1" s="38">
      <c r="W187" s="30" t="n"/>
    </row>
    <row r="188" ht="12.75" customHeight="1" s="38">
      <c r="W188" s="30" t="n"/>
    </row>
    <row r="189" ht="12.75" customHeight="1" s="38">
      <c r="W189" s="30" t="n"/>
    </row>
    <row r="190" ht="12.75" customHeight="1" s="38">
      <c r="W190" s="30" t="n"/>
    </row>
    <row r="191" ht="12.75" customHeight="1" s="38">
      <c r="W191" s="30" t="n"/>
    </row>
    <row r="192" ht="12.75" customHeight="1" s="38">
      <c r="W192" s="30" t="n"/>
    </row>
    <row r="193" ht="12.75" customHeight="1" s="38">
      <c r="W193" s="30" t="n"/>
    </row>
    <row r="194" ht="12.75" customHeight="1" s="38">
      <c r="W194" s="30" t="n"/>
    </row>
    <row r="195" ht="12.75" customHeight="1" s="38">
      <c r="W195" s="30" t="n"/>
    </row>
    <row r="196" ht="12.75" customHeight="1" s="38">
      <c r="W196" s="30" t="n"/>
    </row>
    <row r="197" ht="12.75" customHeight="1" s="38">
      <c r="W197" s="30" t="n"/>
    </row>
    <row r="198" ht="12.75" customHeight="1" s="38">
      <c r="W198" s="30" t="n"/>
    </row>
    <row r="199" ht="12.75" customHeight="1" s="38">
      <c r="W199" s="30" t="n"/>
    </row>
    <row r="200" ht="12.75" customHeight="1" s="38">
      <c r="W200" s="30" t="n"/>
    </row>
    <row r="201" ht="12.75" customHeight="1" s="38">
      <c r="W201" s="30" t="n"/>
    </row>
    <row r="202" ht="12.75" customHeight="1" s="38">
      <c r="W202" s="30" t="n"/>
    </row>
    <row r="203" ht="12.75" customHeight="1" s="38">
      <c r="W203" s="30" t="n"/>
    </row>
    <row r="204" ht="12.75" customHeight="1" s="38">
      <c r="W204" s="30" t="n"/>
    </row>
    <row r="205" ht="12.75" customHeight="1" s="38">
      <c r="W205" s="30" t="n"/>
    </row>
    <row r="206" ht="12.75" customHeight="1" s="38">
      <c r="W206" s="30" t="n"/>
    </row>
    <row r="207" ht="12.75" customHeight="1" s="38">
      <c r="W207" s="30" t="n"/>
    </row>
    <row r="208" ht="12.75" customHeight="1" s="38">
      <c r="W208" s="30" t="n"/>
    </row>
    <row r="209" ht="12.75" customHeight="1" s="38">
      <c r="W209" s="30" t="n"/>
    </row>
    <row r="210" ht="12.75" customHeight="1" s="38">
      <c r="W210" s="30" t="n"/>
    </row>
    <row r="211" ht="12.75" customHeight="1" s="38">
      <c r="W211" s="30" t="n"/>
    </row>
    <row r="212" ht="12.75" customHeight="1" s="38">
      <c r="W212" s="30" t="n"/>
    </row>
    <row r="213" ht="12.75" customHeight="1" s="38">
      <c r="W213" s="30" t="n"/>
    </row>
    <row r="214" ht="12.75" customHeight="1" s="38">
      <c r="W214" s="30" t="n"/>
    </row>
    <row r="215" ht="12.75" customHeight="1" s="38">
      <c r="W215" s="30" t="n"/>
    </row>
    <row r="216" ht="12.75" customHeight="1" s="38">
      <c r="W216" s="30" t="n"/>
    </row>
    <row r="217" ht="12.75" customHeight="1" s="38">
      <c r="W217" s="30" t="n"/>
    </row>
    <row r="218" ht="12.75" customHeight="1" s="38">
      <c r="W218" s="30" t="n"/>
    </row>
    <row r="219" ht="12.75" customHeight="1" s="38">
      <c r="W219" s="30" t="n"/>
    </row>
    <row r="220" ht="12.75" customHeight="1" s="38">
      <c r="W220" s="30" t="n"/>
    </row>
    <row r="221" ht="12.75" customHeight="1" s="38">
      <c r="W221" s="30" t="n"/>
    </row>
    <row r="222" ht="12.75" customHeight="1" s="38">
      <c r="W222" s="30" t="n"/>
    </row>
    <row r="223" ht="12.75" customHeight="1" s="38">
      <c r="W223" s="30" t="n"/>
    </row>
    <row r="224" ht="12.75" customHeight="1" s="38">
      <c r="W224" s="30" t="n"/>
    </row>
    <row r="225" ht="12.75" customHeight="1" s="38">
      <c r="W225" s="30" t="n"/>
    </row>
    <row r="226" ht="12.75" customHeight="1" s="38">
      <c r="W226" s="30" t="n"/>
    </row>
    <row r="227" ht="12.75" customHeight="1" s="38">
      <c r="W227" s="30" t="n"/>
    </row>
    <row r="228" ht="12.75" customHeight="1" s="38">
      <c r="W228" s="30" t="n"/>
    </row>
    <row r="229" ht="12.75" customHeight="1" s="38">
      <c r="W229" s="30" t="n"/>
    </row>
    <row r="230" ht="12.75" customHeight="1" s="38">
      <c r="W230" s="30" t="n"/>
    </row>
    <row r="231" ht="12.75" customHeight="1" s="38">
      <c r="W231" s="30" t="n"/>
    </row>
    <row r="232" ht="12.75" customHeight="1" s="38">
      <c r="W232" s="30" t="n"/>
    </row>
    <row r="233" ht="12.75" customHeight="1" s="38">
      <c r="W233" s="30" t="n"/>
    </row>
    <row r="234" ht="12.75" customHeight="1" s="38">
      <c r="W234" s="30" t="n"/>
    </row>
    <row r="235" ht="12.75" customHeight="1" s="38">
      <c r="W235" s="30" t="n"/>
    </row>
    <row r="236" ht="12.75" customHeight="1" s="38">
      <c r="W236" s="30" t="n"/>
    </row>
    <row r="237" ht="12.75" customHeight="1" s="38">
      <c r="W237" s="30" t="n"/>
    </row>
    <row r="238" ht="12.75" customHeight="1" s="38">
      <c r="W238" s="30" t="n"/>
    </row>
    <row r="239" ht="12.75" customHeight="1" s="38">
      <c r="W239" s="30" t="n"/>
    </row>
    <row r="240" ht="12.75" customHeight="1" s="38">
      <c r="W240" s="30" t="n"/>
    </row>
    <row r="241" ht="12.75" customHeight="1" s="38">
      <c r="W241" s="30" t="n"/>
    </row>
    <row r="242" ht="12.75" customHeight="1" s="38">
      <c r="W242" s="30" t="n"/>
    </row>
    <row r="243" ht="12.75" customHeight="1" s="38">
      <c r="W243" s="30" t="n"/>
    </row>
    <row r="244" ht="12.75" customHeight="1" s="38">
      <c r="W244" s="30" t="n"/>
    </row>
    <row r="245" ht="12.75" customHeight="1" s="38">
      <c r="W245" s="30" t="n"/>
    </row>
    <row r="246" ht="12.75" customHeight="1" s="38">
      <c r="W246" s="30" t="n"/>
    </row>
    <row r="247" ht="12.75" customHeight="1" s="38">
      <c r="W247" s="30" t="n"/>
    </row>
    <row r="248" ht="12.75" customHeight="1" s="38">
      <c r="W248" s="30" t="n"/>
    </row>
    <row r="249" ht="12.75" customHeight="1" s="38">
      <c r="W249" s="30" t="n"/>
    </row>
    <row r="250" ht="12.75" customHeight="1" s="38">
      <c r="W250" s="30" t="n"/>
    </row>
    <row r="251" ht="12.75" customHeight="1" s="38">
      <c r="W251" s="30" t="n"/>
    </row>
    <row r="252" ht="12.75" customHeight="1" s="38">
      <c r="W252" s="30" t="n"/>
    </row>
    <row r="253" ht="12.75" customHeight="1" s="38">
      <c r="W253" s="30" t="n"/>
    </row>
    <row r="254" ht="12.75" customHeight="1" s="38">
      <c r="W254" s="30" t="n"/>
    </row>
    <row r="255" ht="12.75" customHeight="1" s="38">
      <c r="W255" s="30" t="n"/>
    </row>
    <row r="256" ht="12.75" customHeight="1" s="38">
      <c r="W256" s="30" t="n"/>
    </row>
    <row r="257" ht="12.75" customHeight="1" s="38">
      <c r="W257" s="30" t="n"/>
    </row>
    <row r="258" ht="12.75" customHeight="1" s="38">
      <c r="W258" s="30" t="n"/>
    </row>
    <row r="259" ht="12.75" customHeight="1" s="38">
      <c r="W259" s="30" t="n"/>
    </row>
    <row r="260" ht="12.75" customHeight="1" s="38">
      <c r="W260" s="30" t="n"/>
    </row>
    <row r="261" ht="12.75" customHeight="1" s="38">
      <c r="W261" s="30" t="n"/>
    </row>
    <row r="262" ht="12.75" customHeight="1" s="38">
      <c r="W262" s="30" t="n"/>
    </row>
    <row r="263" ht="12.75" customHeight="1" s="38">
      <c r="W263" s="30" t="n"/>
    </row>
    <row r="264" ht="12.75" customHeight="1" s="38">
      <c r="W264" s="30" t="n"/>
    </row>
    <row r="265" ht="12.75" customHeight="1" s="38">
      <c r="W265" s="30" t="n"/>
    </row>
    <row r="266" ht="12.75" customHeight="1" s="38">
      <c r="W266" s="30" t="n"/>
    </row>
    <row r="267" ht="12.75" customHeight="1" s="38">
      <c r="W267" s="30" t="n"/>
    </row>
    <row r="268" ht="12.75" customHeight="1" s="38">
      <c r="W268" s="30" t="n"/>
    </row>
    <row r="269" ht="12.75" customHeight="1" s="38">
      <c r="W269" s="30" t="n"/>
    </row>
    <row r="270" ht="12.75" customHeight="1" s="38">
      <c r="W270" s="30" t="n"/>
    </row>
    <row r="271" ht="12.75" customHeight="1" s="38">
      <c r="W271" s="30" t="n"/>
    </row>
    <row r="272" ht="12.75" customHeight="1" s="38">
      <c r="W272" s="30" t="n"/>
    </row>
    <row r="273" ht="12.75" customHeight="1" s="38">
      <c r="W273" s="30" t="n"/>
    </row>
    <row r="274" ht="12.75" customHeight="1" s="38">
      <c r="W274" s="30" t="n"/>
    </row>
    <row r="275" ht="12.75" customHeight="1" s="38">
      <c r="W275" s="30" t="n"/>
    </row>
    <row r="276" ht="12.75" customHeight="1" s="38">
      <c r="W276" s="30" t="n"/>
    </row>
    <row r="277" ht="12.75" customHeight="1" s="38">
      <c r="W277" s="30" t="n"/>
    </row>
    <row r="278" ht="12.75" customHeight="1" s="38">
      <c r="W278" s="30" t="n"/>
    </row>
    <row r="279" ht="12.75" customHeight="1" s="38">
      <c r="W279" s="30" t="n"/>
    </row>
    <row r="280" ht="12.75" customHeight="1" s="38">
      <c r="W280" s="30" t="n"/>
    </row>
    <row r="281" ht="12.75" customHeight="1" s="38">
      <c r="W281" s="30" t="n"/>
    </row>
    <row r="282" ht="12.75" customHeight="1" s="38">
      <c r="W282" s="30" t="n"/>
    </row>
    <row r="283" ht="12.75" customHeight="1" s="38">
      <c r="W283" s="30" t="n"/>
    </row>
    <row r="284" ht="12.75" customHeight="1" s="38">
      <c r="W284" s="30" t="n"/>
    </row>
    <row r="285" ht="12.75" customHeight="1" s="38">
      <c r="W285" s="30" t="n"/>
    </row>
    <row r="286" ht="12.75" customHeight="1" s="38">
      <c r="W286" s="30" t="n"/>
    </row>
    <row r="287" ht="12.75" customHeight="1" s="38">
      <c r="W287" s="30" t="n"/>
    </row>
    <row r="288" ht="12.75" customHeight="1" s="38">
      <c r="W288" s="30" t="n"/>
    </row>
    <row r="289" ht="12.75" customHeight="1" s="38">
      <c r="W289" s="30" t="n"/>
    </row>
    <row r="290" ht="12.75" customHeight="1" s="38">
      <c r="W290" s="30" t="n"/>
    </row>
    <row r="291" ht="12.75" customHeight="1" s="38">
      <c r="W291" s="30" t="n"/>
    </row>
    <row r="292" ht="12.75" customHeight="1" s="38">
      <c r="W292" s="30" t="n"/>
    </row>
    <row r="293" ht="12.75" customHeight="1" s="38">
      <c r="W293" s="30" t="n"/>
    </row>
    <row r="294" ht="12.75" customHeight="1" s="38">
      <c r="W294" s="30" t="n"/>
    </row>
    <row r="295" ht="12.75" customHeight="1" s="38">
      <c r="W295" s="30" t="n"/>
    </row>
    <row r="296" ht="12.75" customHeight="1" s="38">
      <c r="W296" s="30" t="n"/>
    </row>
    <row r="297" ht="12.75" customHeight="1" s="38">
      <c r="W297" s="30" t="n"/>
    </row>
    <row r="298" ht="12.75" customHeight="1" s="38">
      <c r="W298" s="30" t="n"/>
    </row>
    <row r="299" ht="12.75" customHeight="1" s="38">
      <c r="W299" s="30" t="n"/>
    </row>
    <row r="300" ht="12.75" customHeight="1" s="38">
      <c r="W300" s="30" t="n"/>
    </row>
    <row r="301" ht="12.75" customHeight="1" s="38">
      <c r="W301" s="30" t="n"/>
    </row>
    <row r="302" ht="12.75" customHeight="1" s="38">
      <c r="W302" s="30" t="n"/>
    </row>
    <row r="303" ht="12.75" customHeight="1" s="38">
      <c r="W303" s="30" t="n"/>
    </row>
    <row r="304" ht="12.75" customHeight="1" s="38">
      <c r="W304" s="30" t="n"/>
    </row>
    <row r="305" ht="12.75" customHeight="1" s="38">
      <c r="W305" s="30" t="n"/>
    </row>
    <row r="306" ht="12.75" customHeight="1" s="38">
      <c r="W306" s="30" t="n"/>
    </row>
    <row r="307" ht="12.75" customHeight="1" s="38">
      <c r="W307" s="30" t="n"/>
    </row>
    <row r="308" ht="12.75" customHeight="1" s="38">
      <c r="W308" s="30" t="n"/>
    </row>
    <row r="309" ht="12.75" customHeight="1" s="38">
      <c r="W309" s="30" t="n"/>
    </row>
    <row r="310" ht="12.75" customHeight="1" s="38">
      <c r="W310" s="30" t="n"/>
    </row>
    <row r="311" ht="12.75" customHeight="1" s="38">
      <c r="W311" s="30" t="n"/>
    </row>
    <row r="312" ht="12.75" customHeight="1" s="38">
      <c r="W312" s="30" t="n"/>
    </row>
    <row r="313" ht="12.75" customHeight="1" s="38">
      <c r="W313" s="30" t="n"/>
    </row>
    <row r="314" ht="12.75" customHeight="1" s="38">
      <c r="W314" s="30" t="n"/>
    </row>
    <row r="315" ht="12.75" customHeight="1" s="38">
      <c r="W315" s="30" t="n"/>
    </row>
    <row r="316" ht="12.75" customHeight="1" s="38">
      <c r="W316" s="30" t="n"/>
    </row>
    <row r="317" ht="12.75" customHeight="1" s="38">
      <c r="W317" s="30" t="n"/>
    </row>
    <row r="318" ht="12.75" customHeight="1" s="38">
      <c r="W318" s="30" t="n"/>
    </row>
    <row r="319" ht="12.75" customHeight="1" s="38">
      <c r="W319" s="30" t="n"/>
    </row>
    <row r="320" ht="12.75" customHeight="1" s="38">
      <c r="W320" s="30" t="n"/>
    </row>
    <row r="321" ht="12.75" customHeight="1" s="38">
      <c r="W321" s="30" t="n"/>
    </row>
    <row r="322" ht="12.75" customHeight="1" s="38">
      <c r="W322" s="30" t="n"/>
    </row>
    <row r="323" ht="12.75" customHeight="1" s="38">
      <c r="W323" s="30" t="n"/>
    </row>
    <row r="324" ht="12.75" customHeight="1" s="38">
      <c r="W324" s="30" t="n"/>
    </row>
    <row r="325" ht="12.75" customHeight="1" s="38">
      <c r="W325" s="30" t="n"/>
    </row>
    <row r="326" ht="12.75" customHeight="1" s="38">
      <c r="W326" s="30" t="n"/>
    </row>
    <row r="327" ht="12.75" customHeight="1" s="38">
      <c r="W327" s="30" t="n"/>
    </row>
    <row r="328" ht="12.75" customHeight="1" s="38">
      <c r="W328" s="30" t="n"/>
    </row>
    <row r="329" ht="12.75" customHeight="1" s="38">
      <c r="W329" s="30" t="n"/>
    </row>
    <row r="330" ht="12.75" customHeight="1" s="38">
      <c r="W330" s="30" t="n"/>
    </row>
    <row r="331" ht="12.75" customHeight="1" s="38">
      <c r="W331" s="30" t="n"/>
    </row>
    <row r="332" ht="12.75" customHeight="1" s="38">
      <c r="W332" s="30" t="n"/>
    </row>
    <row r="333" ht="12.75" customHeight="1" s="38">
      <c r="W333" s="30" t="n"/>
    </row>
    <row r="334" ht="12.75" customHeight="1" s="38">
      <c r="W334" s="30" t="n"/>
    </row>
    <row r="335" ht="12.75" customHeight="1" s="38">
      <c r="W335" s="30" t="n"/>
    </row>
    <row r="336" ht="12.75" customHeight="1" s="38">
      <c r="W336" s="30" t="n"/>
    </row>
    <row r="337" ht="12.75" customHeight="1" s="38">
      <c r="W337" s="30" t="n"/>
    </row>
    <row r="338" ht="12.75" customHeight="1" s="38">
      <c r="W338" s="30" t="n"/>
    </row>
    <row r="339" ht="12.75" customHeight="1" s="38">
      <c r="W339" s="30" t="n"/>
    </row>
    <row r="340" ht="12.75" customHeight="1" s="38">
      <c r="W340" s="30" t="n"/>
    </row>
    <row r="341" ht="12.75" customHeight="1" s="38">
      <c r="W341" s="30" t="n"/>
    </row>
    <row r="342" ht="12.75" customHeight="1" s="38">
      <c r="W342" s="30" t="n"/>
    </row>
    <row r="343" ht="12.75" customHeight="1" s="38">
      <c r="W343" s="30" t="n"/>
    </row>
    <row r="344" ht="12.75" customHeight="1" s="38">
      <c r="W344" s="30" t="n"/>
    </row>
    <row r="345" ht="12.75" customHeight="1" s="38">
      <c r="W345" s="30" t="n"/>
    </row>
    <row r="346" ht="12.75" customHeight="1" s="38">
      <c r="W346" s="30" t="n"/>
    </row>
    <row r="347" ht="12.75" customHeight="1" s="38">
      <c r="W347" s="30" t="n"/>
    </row>
    <row r="348" ht="12.75" customHeight="1" s="38">
      <c r="W348" s="30" t="n"/>
    </row>
    <row r="349" ht="12.75" customHeight="1" s="38">
      <c r="W349" s="30" t="n"/>
    </row>
    <row r="350" ht="12.75" customHeight="1" s="38">
      <c r="W350" s="30" t="n"/>
    </row>
    <row r="351" ht="12.75" customHeight="1" s="38">
      <c r="W351" s="30" t="n"/>
    </row>
    <row r="352" ht="12.75" customHeight="1" s="38">
      <c r="W352" s="30" t="n"/>
    </row>
    <row r="353" ht="12.75" customHeight="1" s="38">
      <c r="W353" s="30" t="n"/>
    </row>
    <row r="354" ht="12.75" customHeight="1" s="38">
      <c r="W354" s="30" t="n"/>
    </row>
    <row r="355" ht="12.75" customHeight="1" s="38">
      <c r="W355" s="30" t="n"/>
    </row>
    <row r="356" ht="12.75" customHeight="1" s="38">
      <c r="W356" s="30" t="n"/>
    </row>
    <row r="357" ht="12.75" customHeight="1" s="38">
      <c r="W357" s="30" t="n"/>
    </row>
    <row r="358" ht="12.75" customHeight="1" s="38">
      <c r="W358" s="30" t="n"/>
    </row>
    <row r="359" ht="12.75" customHeight="1" s="38">
      <c r="W359" s="30" t="n"/>
    </row>
    <row r="360" ht="12.75" customHeight="1" s="38">
      <c r="W360" s="30" t="n"/>
    </row>
    <row r="361" ht="12.75" customHeight="1" s="38">
      <c r="W361" s="30" t="n"/>
    </row>
    <row r="362" ht="12.75" customHeight="1" s="38">
      <c r="W362" s="30" t="n"/>
    </row>
    <row r="363" ht="12.75" customHeight="1" s="38">
      <c r="W363" s="30" t="n"/>
    </row>
    <row r="364" ht="12.75" customHeight="1" s="38">
      <c r="W364" s="30" t="n"/>
    </row>
    <row r="365" ht="12.75" customHeight="1" s="38">
      <c r="W365" s="30" t="n"/>
    </row>
    <row r="366" ht="12.75" customHeight="1" s="38">
      <c r="W366" s="30" t="n"/>
    </row>
    <row r="367" ht="12.75" customHeight="1" s="38">
      <c r="W367" s="30" t="n"/>
    </row>
    <row r="368" ht="12.75" customHeight="1" s="38">
      <c r="W368" s="30" t="n"/>
    </row>
    <row r="369" ht="12.75" customHeight="1" s="38">
      <c r="W369" s="30" t="n"/>
    </row>
    <row r="370" ht="12.75" customHeight="1" s="38">
      <c r="W370" s="30" t="n"/>
    </row>
    <row r="371" ht="12.75" customHeight="1" s="38">
      <c r="W371" s="30" t="n"/>
    </row>
    <row r="372" ht="12.75" customHeight="1" s="38">
      <c r="W372" s="30" t="n"/>
    </row>
    <row r="373" ht="12.75" customHeight="1" s="38">
      <c r="W373" s="30" t="n"/>
    </row>
    <row r="374" ht="12.75" customHeight="1" s="38">
      <c r="W374" s="30" t="n"/>
    </row>
    <row r="375" ht="12.75" customHeight="1" s="38">
      <c r="W375" s="30" t="n"/>
    </row>
    <row r="376" ht="12.75" customHeight="1" s="38">
      <c r="W376" s="30" t="n"/>
    </row>
    <row r="377" ht="12.75" customHeight="1" s="38">
      <c r="W377" s="30" t="n"/>
    </row>
    <row r="378" ht="12.75" customHeight="1" s="38">
      <c r="W378" s="30" t="n"/>
    </row>
    <row r="379" ht="12.75" customHeight="1" s="38">
      <c r="W379" s="30" t="n"/>
    </row>
    <row r="380" ht="12.75" customHeight="1" s="38">
      <c r="W380" s="30" t="n"/>
    </row>
    <row r="381" ht="12.75" customHeight="1" s="38">
      <c r="W381" s="30" t="n"/>
    </row>
    <row r="382" ht="12.75" customHeight="1" s="38">
      <c r="W382" s="30" t="n"/>
    </row>
    <row r="383" ht="12.75" customHeight="1" s="38">
      <c r="W383" s="30" t="n"/>
    </row>
    <row r="384" ht="12.75" customHeight="1" s="38">
      <c r="W384" s="30" t="n"/>
    </row>
    <row r="385" ht="12.75" customHeight="1" s="38">
      <c r="W385" s="30" t="n"/>
    </row>
    <row r="386" ht="12.75" customHeight="1" s="38">
      <c r="W386" s="30" t="n"/>
    </row>
    <row r="387" ht="12.75" customHeight="1" s="38">
      <c r="W387" s="30" t="n"/>
    </row>
    <row r="388" ht="12.75" customHeight="1" s="38">
      <c r="W388" s="30" t="n"/>
    </row>
    <row r="389" ht="12.75" customHeight="1" s="38">
      <c r="W389" s="30" t="n"/>
    </row>
    <row r="390" ht="12.75" customHeight="1" s="38">
      <c r="W390" s="30" t="n"/>
    </row>
    <row r="391" ht="12.75" customHeight="1" s="38">
      <c r="W391" s="30" t="n"/>
    </row>
    <row r="392" ht="12.75" customHeight="1" s="38">
      <c r="W392" s="30" t="n"/>
    </row>
    <row r="393" ht="12.75" customHeight="1" s="38">
      <c r="W393" s="30" t="n"/>
    </row>
    <row r="394" ht="12.75" customHeight="1" s="38">
      <c r="W394" s="30" t="n"/>
    </row>
    <row r="395" ht="12.75" customHeight="1" s="38">
      <c r="W395" s="30" t="n"/>
    </row>
    <row r="396" ht="12.75" customHeight="1" s="38">
      <c r="W396" s="30" t="n"/>
    </row>
    <row r="397" ht="12.75" customHeight="1" s="38">
      <c r="W397" s="30" t="n"/>
    </row>
    <row r="398" ht="12.75" customHeight="1" s="38">
      <c r="W398" s="30" t="n"/>
    </row>
    <row r="399" ht="12.75" customHeight="1" s="38">
      <c r="W399" s="30" t="n"/>
    </row>
    <row r="400" ht="12.75" customHeight="1" s="38">
      <c r="W400" s="30" t="n"/>
    </row>
    <row r="401" ht="12.75" customHeight="1" s="38">
      <c r="W401" s="30" t="n"/>
    </row>
    <row r="402" ht="12.75" customHeight="1" s="38">
      <c r="W402" s="30" t="n"/>
    </row>
    <row r="403" ht="12.75" customHeight="1" s="38">
      <c r="W403" s="30" t="n"/>
    </row>
    <row r="404" ht="12.75" customHeight="1" s="38">
      <c r="W404" s="30" t="n"/>
    </row>
    <row r="405" ht="12.75" customHeight="1" s="38">
      <c r="W405" s="30" t="n"/>
    </row>
    <row r="406" ht="12.75" customHeight="1" s="38">
      <c r="W406" s="30" t="n"/>
    </row>
    <row r="407" ht="12.75" customHeight="1" s="38">
      <c r="W407" s="30" t="n"/>
    </row>
    <row r="408" ht="12.75" customHeight="1" s="38">
      <c r="W408" s="30" t="n"/>
    </row>
    <row r="409" ht="12.75" customHeight="1" s="38">
      <c r="W409" s="30" t="n"/>
    </row>
    <row r="410" ht="12.75" customHeight="1" s="38">
      <c r="W410" s="30" t="n"/>
    </row>
    <row r="411" ht="12.75" customHeight="1" s="38">
      <c r="W411" s="30" t="n"/>
    </row>
    <row r="412" ht="12.75" customHeight="1" s="38">
      <c r="W412" s="30" t="n"/>
    </row>
    <row r="413" ht="12.75" customHeight="1" s="38">
      <c r="W413" s="30" t="n"/>
    </row>
    <row r="414" ht="12.75" customHeight="1" s="38">
      <c r="W414" s="30" t="n"/>
    </row>
    <row r="415" ht="12.75" customHeight="1" s="38">
      <c r="W415" s="30" t="n"/>
    </row>
    <row r="416" ht="12.75" customHeight="1" s="38">
      <c r="W416" s="30" t="n"/>
    </row>
    <row r="417" ht="12.75" customHeight="1" s="38">
      <c r="W417" s="30" t="n"/>
    </row>
    <row r="418" ht="12.75" customHeight="1" s="38">
      <c r="W418" s="30" t="n"/>
    </row>
    <row r="419" ht="12.75" customHeight="1" s="38">
      <c r="W419" s="30" t="n"/>
    </row>
    <row r="420" ht="12.75" customHeight="1" s="38">
      <c r="W420" s="30" t="n"/>
    </row>
    <row r="421" ht="12.75" customHeight="1" s="38">
      <c r="W421" s="30" t="n"/>
    </row>
    <row r="422" ht="12.75" customHeight="1" s="38">
      <c r="W422" s="30" t="n"/>
    </row>
    <row r="423" ht="12.75" customHeight="1" s="38">
      <c r="W423" s="30" t="n"/>
    </row>
    <row r="424" ht="12.75" customHeight="1" s="38">
      <c r="W424" s="30" t="n"/>
    </row>
    <row r="425" ht="12.75" customHeight="1" s="38">
      <c r="W425" s="30" t="n"/>
    </row>
    <row r="426" ht="12.75" customHeight="1" s="38">
      <c r="W426" s="30" t="n"/>
    </row>
    <row r="427" ht="12.75" customHeight="1" s="38">
      <c r="W427" s="30" t="n"/>
    </row>
    <row r="428" ht="12.75" customHeight="1" s="38">
      <c r="W428" s="30" t="n"/>
    </row>
    <row r="429" ht="12.75" customHeight="1" s="38">
      <c r="W429" s="30" t="n"/>
    </row>
    <row r="430" ht="12.75" customHeight="1" s="38">
      <c r="W430" s="30" t="n"/>
    </row>
    <row r="431" ht="12.75" customHeight="1" s="38">
      <c r="W431" s="30" t="n"/>
    </row>
    <row r="432" ht="12.75" customHeight="1" s="38">
      <c r="W432" s="30" t="n"/>
    </row>
    <row r="433" ht="12.75" customHeight="1" s="38">
      <c r="W433" s="30" t="n"/>
    </row>
    <row r="434" ht="12.75" customHeight="1" s="38">
      <c r="W434" s="30" t="n"/>
    </row>
    <row r="435" ht="12.75" customHeight="1" s="38">
      <c r="W435" s="30" t="n"/>
    </row>
    <row r="436" ht="12.75" customHeight="1" s="38">
      <c r="W436" s="30" t="n"/>
    </row>
    <row r="437" ht="12.75" customHeight="1" s="38">
      <c r="W437" s="30" t="n"/>
    </row>
    <row r="438" ht="12.75" customHeight="1" s="38">
      <c r="W438" s="30" t="n"/>
    </row>
    <row r="439" ht="12.75" customHeight="1" s="38">
      <c r="W439" s="30" t="n"/>
    </row>
    <row r="440" ht="12.75" customHeight="1" s="38">
      <c r="W440" s="30" t="n"/>
    </row>
    <row r="441" ht="12.75" customHeight="1" s="38">
      <c r="W441" s="30" t="n"/>
    </row>
    <row r="442" ht="12.75" customHeight="1" s="38">
      <c r="W442" s="30" t="n"/>
    </row>
    <row r="443" ht="12.75" customHeight="1" s="38">
      <c r="W443" s="30" t="n"/>
    </row>
    <row r="444" ht="12.75" customHeight="1" s="38">
      <c r="W444" s="30" t="n"/>
    </row>
    <row r="445" ht="12.75" customHeight="1" s="38">
      <c r="W445" s="30" t="n"/>
    </row>
    <row r="446" ht="12.75" customHeight="1" s="38">
      <c r="W446" s="30" t="n"/>
    </row>
    <row r="447" ht="12.75" customHeight="1" s="38">
      <c r="W447" s="30" t="n"/>
    </row>
    <row r="448" ht="12.75" customHeight="1" s="38">
      <c r="W448" s="30" t="n"/>
    </row>
    <row r="449" ht="12.75" customHeight="1" s="38">
      <c r="W449" s="30" t="n"/>
    </row>
    <row r="450" ht="12.75" customHeight="1" s="38">
      <c r="W450" s="30" t="n"/>
    </row>
    <row r="451" ht="12.75" customHeight="1" s="38">
      <c r="W451" s="30" t="n"/>
    </row>
    <row r="452" ht="12.75" customHeight="1" s="38">
      <c r="W452" s="30" t="n"/>
    </row>
    <row r="453" ht="12.75" customHeight="1" s="38">
      <c r="W453" s="30" t="n"/>
    </row>
    <row r="454" ht="12.75" customHeight="1" s="38">
      <c r="W454" s="30" t="n"/>
    </row>
    <row r="455" ht="12.75" customHeight="1" s="38">
      <c r="W455" s="30" t="n"/>
    </row>
    <row r="456" ht="12.75" customHeight="1" s="38">
      <c r="W456" s="30" t="n"/>
    </row>
    <row r="457" ht="12.75" customHeight="1" s="38">
      <c r="W457" s="30" t="n"/>
    </row>
    <row r="458" ht="12.75" customHeight="1" s="38">
      <c r="W458" s="30" t="n"/>
    </row>
    <row r="459" ht="12.75" customHeight="1" s="38">
      <c r="W459" s="30" t="n"/>
    </row>
    <row r="460" ht="12.75" customHeight="1" s="38">
      <c r="W460" s="30" t="n"/>
    </row>
    <row r="461" ht="12.75" customHeight="1" s="38">
      <c r="W461" s="30" t="n"/>
    </row>
    <row r="462" ht="12.75" customHeight="1" s="38">
      <c r="W462" s="30" t="n"/>
    </row>
    <row r="463" ht="12.75" customHeight="1" s="38">
      <c r="W463" s="30" t="n"/>
    </row>
    <row r="464" ht="12.75" customHeight="1" s="38">
      <c r="W464" s="30" t="n"/>
    </row>
    <row r="465" ht="12.75" customHeight="1" s="38">
      <c r="W465" s="30" t="n"/>
    </row>
    <row r="466" ht="12.75" customHeight="1" s="38">
      <c r="W466" s="30" t="n"/>
    </row>
    <row r="467" ht="12.75" customHeight="1" s="38">
      <c r="W467" s="30" t="n"/>
    </row>
    <row r="468" ht="12.75" customHeight="1" s="38">
      <c r="W468" s="30" t="n"/>
    </row>
    <row r="469" ht="12.75" customHeight="1" s="38">
      <c r="W469" s="30" t="n"/>
    </row>
    <row r="470" ht="12.75" customHeight="1" s="38">
      <c r="W470" s="30" t="n"/>
    </row>
    <row r="471" ht="12.75" customHeight="1" s="38">
      <c r="W471" s="30" t="n"/>
    </row>
    <row r="472" ht="12.75" customHeight="1" s="38">
      <c r="W472" s="30" t="n"/>
    </row>
    <row r="473" ht="12.75" customHeight="1" s="38">
      <c r="W473" s="30" t="n"/>
    </row>
    <row r="474" ht="12.75" customHeight="1" s="38">
      <c r="W474" s="30" t="n"/>
    </row>
    <row r="475" ht="12.75" customHeight="1" s="38">
      <c r="W475" s="30" t="n"/>
    </row>
    <row r="476" ht="12.75" customHeight="1" s="38">
      <c r="W476" s="30" t="n"/>
    </row>
    <row r="477" ht="12.75" customHeight="1" s="38">
      <c r="W477" s="30" t="n"/>
    </row>
    <row r="478" ht="12.75" customHeight="1" s="38">
      <c r="W478" s="30" t="n"/>
    </row>
    <row r="479" ht="12.75" customHeight="1" s="38">
      <c r="W479" s="30" t="n"/>
    </row>
    <row r="480" ht="12.75" customHeight="1" s="38">
      <c r="W480" s="30" t="n"/>
    </row>
    <row r="481" ht="12.75" customHeight="1" s="38">
      <c r="W481" s="30" t="n"/>
    </row>
    <row r="482" ht="12.75" customHeight="1" s="38">
      <c r="W482" s="30" t="n"/>
    </row>
    <row r="483" ht="12.75" customHeight="1" s="38">
      <c r="W483" s="30" t="n"/>
    </row>
    <row r="484" ht="12.75" customHeight="1" s="38">
      <c r="W484" s="30" t="n"/>
    </row>
    <row r="485" ht="12.75" customHeight="1" s="38">
      <c r="W485" s="30" t="n"/>
    </row>
    <row r="486" ht="12.75" customHeight="1" s="38">
      <c r="W486" s="30" t="n"/>
    </row>
    <row r="487" ht="12.75" customHeight="1" s="38">
      <c r="W487" s="30" t="n"/>
    </row>
    <row r="488" ht="12.75" customHeight="1" s="38">
      <c r="W488" s="30" t="n"/>
    </row>
    <row r="489" ht="12.75" customHeight="1" s="38">
      <c r="W489" s="30" t="n"/>
    </row>
    <row r="490" ht="12.75" customHeight="1" s="38">
      <c r="W490" s="30" t="n"/>
    </row>
    <row r="491" ht="12.75" customHeight="1" s="38">
      <c r="W491" s="30" t="n"/>
    </row>
    <row r="492" ht="12.75" customHeight="1" s="38">
      <c r="W492" s="30" t="n"/>
    </row>
    <row r="493" ht="12.75" customHeight="1" s="38">
      <c r="W493" s="30" t="n"/>
    </row>
    <row r="494" ht="12.75" customHeight="1" s="38">
      <c r="W494" s="30" t="n"/>
    </row>
    <row r="495" ht="12.75" customHeight="1" s="38">
      <c r="W495" s="30" t="n"/>
    </row>
    <row r="496" ht="12.75" customHeight="1" s="38">
      <c r="W496" s="30" t="n"/>
    </row>
    <row r="497" ht="12.75" customHeight="1" s="38">
      <c r="W497" s="30" t="n"/>
    </row>
    <row r="498" ht="12.75" customHeight="1" s="38">
      <c r="W498" s="30" t="n"/>
    </row>
    <row r="499" ht="12.75" customHeight="1" s="38">
      <c r="W499" s="30" t="n"/>
    </row>
    <row r="500" ht="12.75" customHeight="1" s="38">
      <c r="W500" s="30" t="n"/>
    </row>
    <row r="501" ht="12.75" customHeight="1" s="38">
      <c r="W501" s="30" t="n"/>
    </row>
    <row r="502" ht="12.75" customHeight="1" s="38">
      <c r="W502" s="30" t="n"/>
    </row>
    <row r="503" ht="12.75" customHeight="1" s="38">
      <c r="W503" s="30" t="n"/>
    </row>
    <row r="504" ht="12.75" customHeight="1" s="38">
      <c r="W504" s="30" t="n"/>
    </row>
    <row r="505" ht="12.75" customHeight="1" s="38">
      <c r="W505" s="30" t="n"/>
    </row>
    <row r="506" ht="12.75" customHeight="1" s="38">
      <c r="W506" s="30" t="n"/>
    </row>
    <row r="507" ht="12.75" customHeight="1" s="38">
      <c r="W507" s="30" t="n"/>
    </row>
    <row r="508" ht="12.75" customHeight="1" s="38">
      <c r="W508" s="30" t="n"/>
    </row>
    <row r="509" ht="12.75" customHeight="1" s="38">
      <c r="W509" s="30" t="n"/>
    </row>
    <row r="510" ht="12.75" customHeight="1" s="38">
      <c r="W510" s="30" t="n"/>
    </row>
    <row r="511" ht="12.75" customHeight="1" s="38">
      <c r="W511" s="30" t="n"/>
    </row>
    <row r="512" ht="12.75" customHeight="1" s="38">
      <c r="W512" s="30" t="n"/>
    </row>
    <row r="513" ht="12.75" customHeight="1" s="38">
      <c r="W513" s="30" t="n"/>
    </row>
    <row r="514" ht="12.75" customHeight="1" s="38">
      <c r="W514" s="30" t="n"/>
    </row>
    <row r="515" ht="12.75" customHeight="1" s="38">
      <c r="W515" s="30" t="n"/>
    </row>
    <row r="516" ht="12.75" customHeight="1" s="38">
      <c r="W516" s="30" t="n"/>
    </row>
    <row r="517" ht="12.75" customHeight="1" s="38">
      <c r="W517" s="30" t="n"/>
    </row>
    <row r="518" ht="12.75" customHeight="1" s="38">
      <c r="W518" s="30" t="n"/>
    </row>
    <row r="519" ht="12.75" customHeight="1" s="38">
      <c r="W519" s="30" t="n"/>
    </row>
    <row r="520" ht="12.75" customHeight="1" s="38">
      <c r="W520" s="30" t="n"/>
    </row>
    <row r="521" ht="12.75" customHeight="1" s="38">
      <c r="W521" s="30" t="n"/>
    </row>
    <row r="522" ht="12.75" customHeight="1" s="38">
      <c r="W522" s="30" t="n"/>
    </row>
    <row r="523" ht="12.75" customHeight="1" s="38">
      <c r="W523" s="30" t="n"/>
    </row>
    <row r="524" ht="12.75" customHeight="1" s="38">
      <c r="W524" s="30" t="n"/>
    </row>
    <row r="525" ht="12.75" customHeight="1" s="38">
      <c r="W525" s="30" t="n"/>
    </row>
    <row r="526" ht="12.75" customHeight="1" s="38">
      <c r="W526" s="30" t="n"/>
    </row>
    <row r="527" ht="12.75" customHeight="1" s="38">
      <c r="W527" s="30" t="n"/>
    </row>
    <row r="528" ht="12.75" customHeight="1" s="38">
      <c r="W528" s="30" t="n"/>
    </row>
    <row r="529" ht="12.75" customHeight="1" s="38">
      <c r="W529" s="30" t="n"/>
    </row>
    <row r="530" ht="12.75" customHeight="1" s="38">
      <c r="W530" s="30" t="n"/>
    </row>
    <row r="531" ht="12.75" customHeight="1" s="38">
      <c r="W531" s="30" t="n"/>
    </row>
    <row r="532" ht="12.75" customHeight="1" s="38">
      <c r="W532" s="30" t="n"/>
    </row>
    <row r="533" ht="12.75" customHeight="1" s="38">
      <c r="W533" s="30" t="n"/>
    </row>
    <row r="534" ht="12.75" customHeight="1" s="38">
      <c r="W534" s="30" t="n"/>
    </row>
    <row r="535" ht="12.75" customHeight="1" s="38">
      <c r="W535" s="30" t="n"/>
    </row>
    <row r="536" ht="12.75" customHeight="1" s="38">
      <c r="W536" s="30" t="n"/>
    </row>
    <row r="537" ht="12.75" customHeight="1" s="38">
      <c r="W537" s="30" t="n"/>
    </row>
    <row r="538" ht="12.75" customHeight="1" s="38">
      <c r="W538" s="30" t="n"/>
    </row>
    <row r="539" ht="12.75" customHeight="1" s="38">
      <c r="W539" s="30" t="n"/>
    </row>
    <row r="540" ht="12.75" customHeight="1" s="38">
      <c r="W540" s="30" t="n"/>
    </row>
    <row r="541" ht="12.75" customHeight="1" s="38">
      <c r="W541" s="30" t="n"/>
    </row>
    <row r="542" ht="12.75" customHeight="1" s="38">
      <c r="W542" s="30" t="n"/>
    </row>
    <row r="543" ht="12.75" customHeight="1" s="38">
      <c r="W543" s="30" t="n"/>
    </row>
    <row r="544" ht="12.75" customHeight="1" s="38">
      <c r="W544" s="30" t="n"/>
    </row>
    <row r="545" ht="12.75" customHeight="1" s="38">
      <c r="W545" s="30" t="n"/>
    </row>
    <row r="546" ht="12.75" customHeight="1" s="38">
      <c r="W546" s="30" t="n"/>
    </row>
    <row r="547" ht="12.75" customHeight="1" s="38">
      <c r="W547" s="30" t="n"/>
    </row>
    <row r="548" ht="12.75" customHeight="1" s="38">
      <c r="W548" s="30" t="n"/>
    </row>
    <row r="549" ht="12.75" customHeight="1" s="38">
      <c r="W549" s="30" t="n"/>
    </row>
    <row r="550" ht="12.75" customHeight="1" s="38">
      <c r="W550" s="30" t="n"/>
    </row>
    <row r="551" ht="12.75" customHeight="1" s="38">
      <c r="W551" s="30" t="n"/>
    </row>
    <row r="552" ht="12.75" customHeight="1" s="38">
      <c r="W552" s="30" t="n"/>
    </row>
    <row r="553" ht="12.75" customHeight="1" s="38">
      <c r="W553" s="30" t="n"/>
    </row>
    <row r="554" ht="12.75" customHeight="1" s="38">
      <c r="W554" s="30" t="n"/>
    </row>
    <row r="555" ht="12.75" customHeight="1" s="38">
      <c r="W555" s="30" t="n"/>
    </row>
    <row r="556" ht="12.75" customHeight="1" s="38">
      <c r="W556" s="30" t="n"/>
    </row>
    <row r="557" ht="12.75" customHeight="1" s="38">
      <c r="W557" s="30" t="n"/>
    </row>
    <row r="558" ht="12.75" customHeight="1" s="38">
      <c r="W558" s="30" t="n"/>
    </row>
    <row r="559" ht="12.75" customHeight="1" s="38">
      <c r="W559" s="30" t="n"/>
    </row>
    <row r="560" ht="12.75" customHeight="1" s="38">
      <c r="W560" s="30" t="n"/>
    </row>
    <row r="561" ht="12.75" customHeight="1" s="38">
      <c r="W561" s="30" t="n"/>
    </row>
    <row r="562" ht="12.75" customHeight="1" s="38">
      <c r="W562" s="30" t="n"/>
    </row>
    <row r="563" ht="12.75" customHeight="1" s="38">
      <c r="W563" s="30" t="n"/>
    </row>
    <row r="564" ht="12.75" customHeight="1" s="38">
      <c r="W564" s="30" t="n"/>
    </row>
    <row r="565" ht="12.75" customHeight="1" s="38">
      <c r="W565" s="30" t="n"/>
    </row>
    <row r="566" ht="12.75" customHeight="1" s="38">
      <c r="W566" s="30" t="n"/>
    </row>
    <row r="567" ht="12.75" customHeight="1" s="38">
      <c r="W567" s="30" t="n"/>
    </row>
    <row r="568" ht="12.75" customHeight="1" s="38">
      <c r="W568" s="30" t="n"/>
    </row>
    <row r="569" ht="12.75" customHeight="1" s="38">
      <c r="W569" s="30" t="n"/>
    </row>
    <row r="570" ht="12.75" customHeight="1" s="38">
      <c r="W570" s="30" t="n"/>
    </row>
    <row r="571" ht="12.75" customHeight="1" s="38">
      <c r="W571" s="30" t="n"/>
    </row>
    <row r="572" ht="12.75" customHeight="1" s="38">
      <c r="W572" s="30" t="n"/>
    </row>
    <row r="573" ht="12.75" customHeight="1" s="38">
      <c r="W573" s="30" t="n"/>
    </row>
    <row r="574" ht="12.75" customHeight="1" s="38">
      <c r="W574" s="30" t="n"/>
    </row>
    <row r="575" ht="12.75" customHeight="1" s="38">
      <c r="W575" s="30" t="n"/>
    </row>
    <row r="576" ht="12.75" customHeight="1" s="38">
      <c r="W576" s="30" t="n"/>
    </row>
    <row r="577" ht="12.75" customHeight="1" s="38">
      <c r="W577" s="30" t="n"/>
    </row>
    <row r="578" ht="12.75" customHeight="1" s="38">
      <c r="W578" s="30" t="n"/>
    </row>
    <row r="579" ht="12.75" customHeight="1" s="38">
      <c r="W579" s="30" t="n"/>
    </row>
    <row r="580" ht="12.75" customHeight="1" s="38">
      <c r="W580" s="30" t="n"/>
    </row>
    <row r="581" ht="12.75" customHeight="1" s="38">
      <c r="W581" s="30" t="n"/>
    </row>
    <row r="582" ht="12.75" customHeight="1" s="38">
      <c r="W582" s="30" t="n"/>
    </row>
    <row r="583" ht="12.75" customHeight="1" s="38">
      <c r="W583" s="30" t="n"/>
    </row>
    <row r="584" ht="12.75" customHeight="1" s="38">
      <c r="W584" s="30" t="n"/>
    </row>
    <row r="585" ht="12.75" customHeight="1" s="38">
      <c r="W585" s="30" t="n"/>
    </row>
    <row r="586" ht="12.75" customHeight="1" s="38">
      <c r="W586" s="30" t="n"/>
    </row>
    <row r="587" ht="12.75" customHeight="1" s="38">
      <c r="W587" s="30" t="n"/>
    </row>
    <row r="588" ht="12.75" customHeight="1" s="38">
      <c r="W588" s="30" t="n"/>
    </row>
    <row r="589" ht="12.75" customHeight="1" s="38">
      <c r="W589" s="30" t="n"/>
    </row>
    <row r="590" ht="12.75" customHeight="1" s="38">
      <c r="W590" s="30" t="n"/>
    </row>
    <row r="591" ht="12.75" customHeight="1" s="38">
      <c r="W591" s="30" t="n"/>
    </row>
    <row r="592" ht="12.75" customHeight="1" s="38">
      <c r="W592" s="30" t="n"/>
    </row>
    <row r="593" ht="12.75" customHeight="1" s="38">
      <c r="W593" s="30" t="n"/>
    </row>
    <row r="594" ht="12.75" customHeight="1" s="38">
      <c r="W594" s="30" t="n"/>
    </row>
    <row r="595" ht="12.75" customHeight="1" s="38">
      <c r="W595" s="30" t="n"/>
    </row>
    <row r="596" ht="12.75" customHeight="1" s="38">
      <c r="W596" s="30" t="n"/>
    </row>
    <row r="597" ht="12.75" customHeight="1" s="38">
      <c r="W597" s="30" t="n"/>
    </row>
    <row r="598" ht="12.75" customHeight="1" s="38">
      <c r="W598" s="30" t="n"/>
    </row>
    <row r="599" ht="12.75" customHeight="1" s="38">
      <c r="W599" s="30" t="n"/>
    </row>
    <row r="600" ht="12.75" customHeight="1" s="38">
      <c r="W600" s="30" t="n"/>
    </row>
    <row r="601" ht="12.75" customHeight="1" s="38">
      <c r="W601" s="30" t="n"/>
    </row>
    <row r="602" ht="12.75" customHeight="1" s="38">
      <c r="W602" s="30" t="n"/>
    </row>
    <row r="603" ht="12.75" customHeight="1" s="38">
      <c r="W603" s="30" t="n"/>
    </row>
    <row r="604" ht="12.75" customHeight="1" s="38">
      <c r="W604" s="30" t="n"/>
    </row>
    <row r="605" ht="12.75" customHeight="1" s="38">
      <c r="W605" s="30" t="n"/>
    </row>
    <row r="606" ht="12.75" customHeight="1" s="38">
      <c r="W606" s="30" t="n"/>
    </row>
    <row r="607" ht="12.75" customHeight="1" s="38">
      <c r="W607" s="30" t="n"/>
    </row>
    <row r="608" ht="12.75" customHeight="1" s="38">
      <c r="W608" s="30" t="n"/>
    </row>
    <row r="609" ht="12.75" customHeight="1" s="38">
      <c r="W609" s="30" t="n"/>
    </row>
    <row r="610" ht="12.75" customHeight="1" s="38">
      <c r="W610" s="30" t="n"/>
    </row>
    <row r="611" ht="12.75" customHeight="1" s="38">
      <c r="W611" s="30" t="n"/>
    </row>
    <row r="612" ht="12.75" customHeight="1" s="38">
      <c r="W612" s="30" t="n"/>
    </row>
    <row r="613" ht="12.75" customHeight="1" s="38">
      <c r="W613" s="30" t="n"/>
    </row>
    <row r="614" ht="12.75" customHeight="1" s="38">
      <c r="W614" s="30" t="n"/>
    </row>
    <row r="615" ht="12.75" customHeight="1" s="38">
      <c r="W615" s="30" t="n"/>
    </row>
    <row r="616" ht="12.75" customHeight="1" s="38">
      <c r="W616" s="30" t="n"/>
    </row>
    <row r="617" ht="12.75" customHeight="1" s="38">
      <c r="W617" s="30" t="n"/>
    </row>
    <row r="618" ht="12.75" customHeight="1" s="38">
      <c r="W618" s="30" t="n"/>
    </row>
    <row r="619" ht="12.75" customHeight="1" s="38">
      <c r="W619" s="30" t="n"/>
    </row>
    <row r="620" ht="12.75" customHeight="1" s="38">
      <c r="W620" s="30" t="n"/>
    </row>
    <row r="621" ht="12.75" customHeight="1" s="38">
      <c r="W621" s="30" t="n"/>
    </row>
    <row r="622" ht="12.75" customHeight="1" s="38">
      <c r="W622" s="30" t="n"/>
    </row>
    <row r="623" ht="12.75" customHeight="1" s="38">
      <c r="W623" s="30" t="n"/>
    </row>
    <row r="624" ht="12.75" customHeight="1" s="38">
      <c r="W624" s="30" t="n"/>
    </row>
    <row r="625" ht="12.75" customHeight="1" s="38">
      <c r="W625" s="30" t="n"/>
    </row>
    <row r="626" ht="12.75" customHeight="1" s="38">
      <c r="W626" s="30" t="n"/>
    </row>
    <row r="627" ht="12.75" customHeight="1" s="38">
      <c r="W627" s="30" t="n"/>
    </row>
    <row r="628" ht="12.75" customHeight="1" s="38">
      <c r="W628" s="30" t="n"/>
    </row>
    <row r="629" ht="12.75" customHeight="1" s="38">
      <c r="W629" s="30" t="n"/>
    </row>
    <row r="630" ht="12.75" customHeight="1" s="38">
      <c r="W630" s="30" t="n"/>
    </row>
    <row r="631" ht="12.75" customHeight="1" s="38">
      <c r="W631" s="30" t="n"/>
    </row>
    <row r="632" ht="12.75" customHeight="1" s="38">
      <c r="W632" s="30" t="n"/>
    </row>
    <row r="633" ht="12.75" customHeight="1" s="38">
      <c r="W633" s="30" t="n"/>
    </row>
    <row r="634" ht="12.75" customHeight="1" s="38">
      <c r="W634" s="30" t="n"/>
    </row>
    <row r="635" ht="12.75" customHeight="1" s="38">
      <c r="W635" s="30" t="n"/>
    </row>
    <row r="636" ht="12.75" customHeight="1" s="38">
      <c r="W636" s="30" t="n"/>
    </row>
    <row r="637" ht="12.75" customHeight="1" s="38">
      <c r="W637" s="30" t="n"/>
    </row>
    <row r="638" ht="12.75" customHeight="1" s="38">
      <c r="W638" s="30" t="n"/>
    </row>
    <row r="639" ht="12.75" customHeight="1" s="38">
      <c r="W639" s="30" t="n"/>
    </row>
    <row r="640" ht="12.75" customHeight="1" s="38">
      <c r="W640" s="30" t="n"/>
    </row>
    <row r="641" ht="12.75" customHeight="1" s="38">
      <c r="W641" s="30" t="n"/>
    </row>
    <row r="642" ht="12.75" customHeight="1" s="38">
      <c r="W642" s="30" t="n"/>
    </row>
    <row r="643" ht="12.75" customHeight="1" s="38">
      <c r="W643" s="30" t="n"/>
    </row>
    <row r="644" ht="12.75" customHeight="1" s="38">
      <c r="W644" s="30" t="n"/>
    </row>
    <row r="645" ht="12.75" customHeight="1" s="38">
      <c r="W645" s="30" t="n"/>
    </row>
    <row r="646" ht="12.75" customHeight="1" s="38">
      <c r="W646" s="30" t="n"/>
    </row>
    <row r="647" ht="12.75" customHeight="1" s="38">
      <c r="W647" s="30" t="n"/>
    </row>
    <row r="648" ht="12.75" customHeight="1" s="38">
      <c r="W648" s="30" t="n"/>
    </row>
    <row r="649" ht="12.75" customHeight="1" s="38">
      <c r="W649" s="30" t="n"/>
    </row>
    <row r="650" ht="12.75" customHeight="1" s="38">
      <c r="W650" s="30" t="n"/>
    </row>
    <row r="651" ht="12.75" customHeight="1" s="38">
      <c r="W651" s="30" t="n"/>
    </row>
    <row r="652" ht="12.75" customHeight="1" s="38">
      <c r="W652" s="30" t="n"/>
    </row>
    <row r="653" ht="12.75" customHeight="1" s="38">
      <c r="W653" s="30" t="n"/>
    </row>
    <row r="654" ht="12.75" customHeight="1" s="38">
      <c r="W654" s="30" t="n"/>
    </row>
    <row r="655" ht="12.75" customHeight="1" s="38">
      <c r="W655" s="30" t="n"/>
    </row>
    <row r="656" ht="12.75" customHeight="1" s="38">
      <c r="W656" s="30" t="n"/>
    </row>
    <row r="657" ht="12.75" customHeight="1" s="38">
      <c r="W657" s="30" t="n"/>
    </row>
    <row r="658" ht="12.75" customHeight="1" s="38">
      <c r="W658" s="30" t="n"/>
    </row>
    <row r="659" ht="12.75" customHeight="1" s="38">
      <c r="W659" s="30" t="n"/>
    </row>
    <row r="660" ht="12.75" customHeight="1" s="38">
      <c r="W660" s="30" t="n"/>
    </row>
    <row r="661" ht="12.75" customHeight="1" s="38">
      <c r="W661" s="30" t="n"/>
    </row>
    <row r="662" ht="12.75" customHeight="1" s="38">
      <c r="W662" s="30" t="n"/>
    </row>
    <row r="663" ht="12.75" customHeight="1" s="38">
      <c r="W663" s="30" t="n"/>
    </row>
    <row r="664" ht="12.75" customHeight="1" s="38">
      <c r="W664" s="30" t="n"/>
    </row>
    <row r="665" ht="12.75" customHeight="1" s="38">
      <c r="W665" s="30" t="n"/>
    </row>
    <row r="666" ht="12.75" customHeight="1" s="38">
      <c r="W666" s="30" t="n"/>
    </row>
    <row r="667" ht="12.75" customHeight="1" s="38">
      <c r="W667" s="30" t="n"/>
    </row>
    <row r="668" ht="12.75" customHeight="1" s="38">
      <c r="W668" s="30" t="n"/>
    </row>
    <row r="669" ht="12.75" customHeight="1" s="38">
      <c r="W669" s="30" t="n"/>
    </row>
    <row r="670" ht="12.75" customHeight="1" s="38">
      <c r="W670" s="30" t="n"/>
    </row>
    <row r="671" ht="12.75" customHeight="1" s="38">
      <c r="W671" s="30" t="n"/>
    </row>
    <row r="672" ht="12.75" customHeight="1" s="38">
      <c r="W672" s="30" t="n"/>
    </row>
    <row r="673" ht="12.75" customHeight="1" s="38">
      <c r="W673" s="30" t="n"/>
    </row>
    <row r="674" ht="12.75" customHeight="1" s="38">
      <c r="W674" s="30" t="n"/>
    </row>
    <row r="675" ht="12.75" customHeight="1" s="38">
      <c r="W675" s="30" t="n"/>
    </row>
    <row r="676" ht="12.75" customHeight="1" s="38">
      <c r="W676" s="30" t="n"/>
    </row>
    <row r="677" ht="12.75" customHeight="1" s="38">
      <c r="W677" s="30" t="n"/>
    </row>
    <row r="678" ht="12.75" customHeight="1" s="38">
      <c r="W678" s="30" t="n"/>
    </row>
    <row r="679" ht="12.75" customHeight="1" s="38">
      <c r="W679" s="30" t="n"/>
    </row>
    <row r="680" ht="12.75" customHeight="1" s="38">
      <c r="W680" s="30" t="n"/>
    </row>
    <row r="681" ht="12.75" customHeight="1" s="38">
      <c r="W681" s="30" t="n"/>
    </row>
    <row r="682" ht="12.75" customHeight="1" s="38">
      <c r="W682" s="30" t="n"/>
    </row>
    <row r="683" ht="12.75" customHeight="1" s="38">
      <c r="W683" s="30" t="n"/>
    </row>
    <row r="684" ht="12.75" customHeight="1" s="38">
      <c r="W684" s="30" t="n"/>
    </row>
    <row r="685" ht="12.75" customHeight="1" s="38">
      <c r="W685" s="30" t="n"/>
    </row>
    <row r="686" ht="12.75" customHeight="1" s="38">
      <c r="W686" s="30" t="n"/>
    </row>
    <row r="687" ht="12.75" customHeight="1" s="38">
      <c r="W687" s="30" t="n"/>
    </row>
    <row r="688" ht="12.75" customHeight="1" s="38">
      <c r="W688" s="30" t="n"/>
    </row>
    <row r="689" ht="12.75" customHeight="1" s="38">
      <c r="W689" s="30" t="n"/>
    </row>
    <row r="690" ht="12.75" customHeight="1" s="38">
      <c r="W690" s="30" t="n"/>
    </row>
    <row r="691" ht="12.75" customHeight="1" s="38">
      <c r="W691" s="30" t="n"/>
    </row>
    <row r="692" ht="12.75" customHeight="1" s="38">
      <c r="W692" s="30" t="n"/>
    </row>
    <row r="693" ht="12.75" customHeight="1" s="38">
      <c r="W693" s="30" t="n"/>
    </row>
    <row r="694" ht="12.75" customHeight="1" s="38">
      <c r="W694" s="30" t="n"/>
    </row>
    <row r="695" ht="12.75" customHeight="1" s="38">
      <c r="W695" s="30" t="n"/>
    </row>
    <row r="696" ht="12.75" customHeight="1" s="38">
      <c r="W696" s="30" t="n"/>
    </row>
    <row r="697" ht="12.75" customHeight="1" s="38">
      <c r="W697" s="30" t="n"/>
    </row>
    <row r="698" ht="12.75" customHeight="1" s="38">
      <c r="W698" s="30" t="n"/>
    </row>
    <row r="699" ht="12.75" customHeight="1" s="38">
      <c r="W699" s="30" t="n"/>
    </row>
    <row r="700" ht="12.75" customHeight="1" s="38">
      <c r="W700" s="30" t="n"/>
    </row>
    <row r="701" ht="12.75" customHeight="1" s="38">
      <c r="W701" s="30" t="n"/>
    </row>
    <row r="702" ht="12.75" customHeight="1" s="38">
      <c r="W702" s="30" t="n"/>
    </row>
    <row r="703" ht="12.75" customHeight="1" s="38">
      <c r="W703" s="30" t="n"/>
    </row>
    <row r="704" ht="12.75" customHeight="1" s="38">
      <c r="W704" s="30" t="n"/>
    </row>
    <row r="705" ht="12.75" customHeight="1" s="38">
      <c r="W705" s="30" t="n"/>
    </row>
    <row r="706" ht="12.75" customHeight="1" s="38">
      <c r="W706" s="30" t="n"/>
    </row>
    <row r="707" ht="12.75" customHeight="1" s="38">
      <c r="W707" s="30" t="n"/>
    </row>
    <row r="708" ht="12.75" customHeight="1" s="38">
      <c r="W708" s="30" t="n"/>
    </row>
    <row r="709" ht="12.75" customHeight="1" s="38">
      <c r="W709" s="30" t="n"/>
    </row>
    <row r="710" ht="12.75" customHeight="1" s="38">
      <c r="W710" s="30" t="n"/>
    </row>
    <row r="711" ht="12.75" customHeight="1" s="38">
      <c r="W711" s="30" t="n"/>
    </row>
    <row r="712" ht="12.75" customHeight="1" s="38">
      <c r="W712" s="30" t="n"/>
    </row>
    <row r="713" ht="12.75" customHeight="1" s="38">
      <c r="W713" s="30" t="n"/>
    </row>
    <row r="714" ht="12.75" customHeight="1" s="38">
      <c r="W714" s="30" t="n"/>
    </row>
    <row r="715" ht="12.75" customHeight="1" s="38">
      <c r="W715" s="30" t="n"/>
    </row>
    <row r="716" ht="12.75" customHeight="1" s="38">
      <c r="W716" s="30" t="n"/>
    </row>
    <row r="717" ht="12.75" customHeight="1" s="38">
      <c r="W717" s="30" t="n"/>
    </row>
    <row r="718" ht="12.75" customHeight="1" s="38">
      <c r="W718" s="30" t="n"/>
    </row>
    <row r="719" ht="12.75" customHeight="1" s="38">
      <c r="W719" s="30" t="n"/>
    </row>
    <row r="720" ht="12.75" customHeight="1" s="38">
      <c r="W720" s="30" t="n"/>
    </row>
    <row r="721" ht="12.75" customHeight="1" s="38">
      <c r="W721" s="30" t="n"/>
    </row>
    <row r="722" ht="12.75" customHeight="1" s="38">
      <c r="W722" s="30" t="n"/>
    </row>
    <row r="723" ht="12.75" customHeight="1" s="38">
      <c r="W723" s="30" t="n"/>
    </row>
    <row r="724" ht="12.75" customHeight="1" s="38">
      <c r="W724" s="30" t="n"/>
    </row>
    <row r="725" ht="12.75" customHeight="1" s="38">
      <c r="W725" s="30" t="n"/>
    </row>
    <row r="726" ht="12.75" customHeight="1" s="38">
      <c r="W726" s="30" t="n"/>
    </row>
    <row r="727" ht="12.75" customHeight="1" s="38">
      <c r="W727" s="30" t="n"/>
    </row>
    <row r="728" ht="12.75" customHeight="1" s="38">
      <c r="W728" s="30" t="n"/>
    </row>
    <row r="729" ht="12.75" customHeight="1" s="38">
      <c r="W729" s="30" t="n"/>
    </row>
    <row r="730" ht="12.75" customHeight="1" s="38">
      <c r="W730" s="30" t="n"/>
    </row>
    <row r="731" ht="12.75" customHeight="1" s="38">
      <c r="W731" s="30" t="n"/>
    </row>
    <row r="732" ht="12.75" customHeight="1" s="38">
      <c r="W732" s="30" t="n"/>
    </row>
    <row r="733" ht="12.75" customHeight="1" s="38">
      <c r="W733" s="30" t="n"/>
    </row>
    <row r="734" ht="12.75" customHeight="1" s="38">
      <c r="W734" s="30" t="n"/>
    </row>
    <row r="735" ht="12.75" customHeight="1" s="38">
      <c r="W735" s="30" t="n"/>
    </row>
    <row r="736" ht="12.75" customHeight="1" s="38">
      <c r="W736" s="30" t="n"/>
    </row>
    <row r="737" ht="12.75" customHeight="1" s="38">
      <c r="W737" s="30" t="n"/>
    </row>
    <row r="738" ht="12.75" customHeight="1" s="38">
      <c r="W738" s="30" t="n"/>
    </row>
    <row r="739" ht="12.75" customHeight="1" s="38">
      <c r="W739" s="30" t="n"/>
    </row>
    <row r="740" ht="12.75" customHeight="1" s="38">
      <c r="W740" s="30" t="n"/>
    </row>
    <row r="741" ht="12.75" customHeight="1" s="38">
      <c r="W741" s="30" t="n"/>
    </row>
    <row r="742" ht="12.75" customHeight="1" s="38">
      <c r="W742" s="30" t="n"/>
    </row>
    <row r="743" ht="12.75" customHeight="1" s="38">
      <c r="W743" s="30" t="n"/>
    </row>
    <row r="744" ht="12.75" customHeight="1" s="38">
      <c r="W744" s="30" t="n"/>
    </row>
    <row r="745" ht="12.75" customHeight="1" s="38">
      <c r="W745" s="30" t="n"/>
    </row>
    <row r="746" ht="12.75" customHeight="1" s="38">
      <c r="W746" s="30" t="n"/>
    </row>
    <row r="747" ht="12.75" customHeight="1" s="38">
      <c r="W747" s="30" t="n"/>
    </row>
    <row r="748" ht="12.75" customHeight="1" s="38">
      <c r="W748" s="30" t="n"/>
    </row>
    <row r="749" ht="12.75" customHeight="1" s="38">
      <c r="W749" s="30" t="n"/>
    </row>
    <row r="750" ht="12.75" customHeight="1" s="38">
      <c r="W750" s="30" t="n"/>
    </row>
    <row r="751" ht="12.75" customHeight="1" s="38">
      <c r="W751" s="30" t="n"/>
    </row>
    <row r="752" ht="12.75" customHeight="1" s="38">
      <c r="W752" s="30" t="n"/>
    </row>
    <row r="753" ht="12.75" customHeight="1" s="38">
      <c r="W753" s="30" t="n"/>
    </row>
    <row r="754" ht="12.75" customHeight="1" s="38">
      <c r="W754" s="30" t="n"/>
    </row>
    <row r="755" ht="12.75" customHeight="1" s="38">
      <c r="W755" s="30" t="n"/>
    </row>
    <row r="756" ht="12.75" customHeight="1" s="38">
      <c r="W756" s="30" t="n"/>
    </row>
    <row r="757" ht="12.75" customHeight="1" s="38">
      <c r="W757" s="30" t="n"/>
    </row>
    <row r="758" ht="12.75" customHeight="1" s="38">
      <c r="W758" s="30" t="n"/>
    </row>
    <row r="759" ht="12.75" customHeight="1" s="38">
      <c r="W759" s="30" t="n"/>
    </row>
    <row r="760" ht="12.75" customHeight="1" s="38">
      <c r="W760" s="30" t="n"/>
    </row>
    <row r="761" ht="12.75" customHeight="1" s="38">
      <c r="W761" s="30" t="n"/>
    </row>
    <row r="762" ht="12.75" customHeight="1" s="38">
      <c r="W762" s="30" t="n"/>
    </row>
    <row r="763" ht="12.75" customHeight="1" s="38">
      <c r="W763" s="30" t="n"/>
    </row>
    <row r="764" ht="12.75" customHeight="1" s="38">
      <c r="W764" s="30" t="n"/>
    </row>
    <row r="765" ht="12.75" customHeight="1" s="38">
      <c r="W765" s="30" t="n"/>
    </row>
    <row r="766" ht="12.75" customHeight="1" s="38">
      <c r="W766" s="30" t="n"/>
    </row>
    <row r="767" ht="12.75" customHeight="1" s="38">
      <c r="W767" s="30" t="n"/>
    </row>
    <row r="768" ht="12.75" customHeight="1" s="38">
      <c r="W768" s="30" t="n"/>
    </row>
    <row r="769" ht="12.75" customHeight="1" s="38">
      <c r="W769" s="30" t="n"/>
    </row>
    <row r="770" ht="12.75" customHeight="1" s="38">
      <c r="W770" s="30" t="n"/>
    </row>
    <row r="771" ht="12.75" customHeight="1" s="38">
      <c r="W771" s="30" t="n"/>
    </row>
    <row r="772" ht="12.75" customHeight="1" s="38">
      <c r="W772" s="30" t="n"/>
    </row>
    <row r="773" ht="12.75" customHeight="1" s="38">
      <c r="W773" s="30" t="n"/>
    </row>
    <row r="774" ht="12.75" customHeight="1" s="38">
      <c r="W774" s="30" t="n"/>
    </row>
    <row r="775" ht="12.75" customHeight="1" s="38">
      <c r="W775" s="30" t="n"/>
    </row>
    <row r="776" ht="12.75" customHeight="1" s="38">
      <c r="W776" s="30" t="n"/>
    </row>
    <row r="777" ht="12.75" customHeight="1" s="38">
      <c r="W777" s="30" t="n"/>
    </row>
    <row r="778" ht="12.75" customHeight="1" s="38">
      <c r="W778" s="30" t="n"/>
    </row>
    <row r="779" ht="12.75" customHeight="1" s="38">
      <c r="W779" s="30" t="n"/>
    </row>
    <row r="780" ht="12.75" customHeight="1" s="38">
      <c r="W780" s="30" t="n"/>
    </row>
    <row r="781" ht="12.75" customHeight="1" s="38">
      <c r="W781" s="30" t="n"/>
    </row>
    <row r="782" ht="12.75" customHeight="1" s="38">
      <c r="W782" s="30" t="n"/>
    </row>
    <row r="783" ht="12.75" customHeight="1" s="38">
      <c r="W783" s="30" t="n"/>
    </row>
    <row r="784" ht="12.75" customHeight="1" s="38">
      <c r="W784" s="30" t="n"/>
    </row>
    <row r="785" ht="12.75" customHeight="1" s="38">
      <c r="W785" s="30" t="n"/>
    </row>
    <row r="786" ht="12.75" customHeight="1" s="38">
      <c r="W786" s="30" t="n"/>
    </row>
    <row r="787" ht="12.75" customHeight="1" s="38">
      <c r="W787" s="30" t="n"/>
    </row>
    <row r="788" ht="12.75" customHeight="1" s="38">
      <c r="W788" s="30" t="n"/>
    </row>
    <row r="789" ht="12.75" customHeight="1" s="38">
      <c r="W789" s="30" t="n"/>
    </row>
    <row r="790" ht="12.75" customHeight="1" s="38">
      <c r="W790" s="30" t="n"/>
    </row>
    <row r="791" ht="12.75" customHeight="1" s="38">
      <c r="W791" s="30" t="n"/>
    </row>
    <row r="792" ht="12.75" customHeight="1" s="38">
      <c r="W792" s="30" t="n"/>
    </row>
    <row r="793" ht="12.75" customHeight="1" s="38">
      <c r="W793" s="30" t="n"/>
    </row>
    <row r="794" ht="12.75" customHeight="1" s="38">
      <c r="W794" s="30" t="n"/>
    </row>
    <row r="795" ht="12.75" customHeight="1" s="38">
      <c r="W795" s="30" t="n"/>
    </row>
    <row r="796" ht="12.75" customHeight="1" s="38">
      <c r="W796" s="30" t="n"/>
    </row>
    <row r="797" ht="12.75" customHeight="1" s="38">
      <c r="W797" s="30" t="n"/>
    </row>
    <row r="798" ht="12.75" customHeight="1" s="38">
      <c r="W798" s="30" t="n"/>
    </row>
    <row r="799" ht="12.75" customHeight="1" s="38">
      <c r="W799" s="30" t="n"/>
    </row>
    <row r="800" ht="12.75" customHeight="1" s="38">
      <c r="W800" s="30" t="n"/>
    </row>
    <row r="801" ht="12.75" customHeight="1" s="38">
      <c r="W801" s="30" t="n"/>
    </row>
    <row r="802" ht="12.75" customHeight="1" s="38">
      <c r="W802" s="30" t="n"/>
    </row>
    <row r="803" ht="12.75" customHeight="1" s="38">
      <c r="W803" s="30" t="n"/>
    </row>
    <row r="804" ht="12.75" customHeight="1" s="38">
      <c r="W804" s="30" t="n"/>
    </row>
    <row r="805" ht="12.75" customHeight="1" s="38">
      <c r="W805" s="30" t="n"/>
    </row>
    <row r="806" ht="12.75" customHeight="1" s="38">
      <c r="W806" s="30" t="n"/>
    </row>
    <row r="807" ht="12.75" customHeight="1" s="38">
      <c r="W807" s="30" t="n"/>
    </row>
    <row r="808" ht="12.75" customHeight="1" s="38">
      <c r="W808" s="30" t="n"/>
    </row>
    <row r="809" ht="12.75" customHeight="1" s="38">
      <c r="W809" s="30" t="n"/>
    </row>
    <row r="810" ht="12.75" customHeight="1" s="38">
      <c r="W810" s="30" t="n"/>
    </row>
    <row r="811" ht="12.75" customHeight="1" s="38">
      <c r="W811" s="30" t="n"/>
    </row>
    <row r="812" ht="12.75" customHeight="1" s="38">
      <c r="W812" s="30" t="n"/>
    </row>
    <row r="813" ht="12.75" customHeight="1" s="38">
      <c r="W813" s="30" t="n"/>
    </row>
    <row r="814" ht="12.75" customHeight="1" s="38">
      <c r="W814" s="30" t="n"/>
    </row>
    <row r="815" ht="12.75" customHeight="1" s="38">
      <c r="W815" s="30" t="n"/>
    </row>
    <row r="816" ht="12.75" customHeight="1" s="38">
      <c r="W816" s="30" t="n"/>
    </row>
    <row r="817" ht="12.75" customHeight="1" s="38">
      <c r="W817" s="30" t="n"/>
    </row>
    <row r="818" ht="12.75" customHeight="1" s="38">
      <c r="W818" s="30" t="n"/>
    </row>
    <row r="819" ht="12.75" customHeight="1" s="38">
      <c r="W819" s="30" t="n"/>
    </row>
    <row r="820" ht="12.75" customHeight="1" s="38">
      <c r="W820" s="30" t="n"/>
    </row>
    <row r="821" ht="12.75" customHeight="1" s="38">
      <c r="W821" s="30" t="n"/>
    </row>
    <row r="822" ht="12.75" customHeight="1" s="38">
      <c r="W822" s="30" t="n"/>
    </row>
    <row r="823" ht="12.75" customHeight="1" s="38">
      <c r="W823" s="30" t="n"/>
    </row>
    <row r="824" ht="12.75" customHeight="1" s="38">
      <c r="W824" s="30" t="n"/>
    </row>
    <row r="825" ht="12.75" customHeight="1" s="38">
      <c r="W825" s="30" t="n"/>
    </row>
    <row r="826" ht="12.75" customHeight="1" s="38">
      <c r="W826" s="30" t="n"/>
    </row>
    <row r="827" ht="12.75" customHeight="1" s="38">
      <c r="W827" s="30" t="n"/>
    </row>
    <row r="828" ht="12.75" customHeight="1" s="38">
      <c r="W828" s="30" t="n"/>
    </row>
    <row r="829" ht="12.75" customHeight="1" s="38">
      <c r="W829" s="30" t="n"/>
    </row>
    <row r="830" ht="12.75" customHeight="1" s="38">
      <c r="W830" s="30" t="n"/>
    </row>
    <row r="831" ht="12.75" customHeight="1" s="38">
      <c r="W831" s="30" t="n"/>
    </row>
    <row r="832" ht="12.75" customHeight="1" s="38">
      <c r="W832" s="30" t="n"/>
    </row>
    <row r="833" ht="12.75" customHeight="1" s="38">
      <c r="W833" s="30" t="n"/>
    </row>
    <row r="834" ht="12.75" customHeight="1" s="38">
      <c r="W834" s="30" t="n"/>
    </row>
    <row r="835" ht="12.75" customHeight="1" s="38">
      <c r="W835" s="30" t="n"/>
    </row>
    <row r="836" ht="12.75" customHeight="1" s="38">
      <c r="W836" s="30" t="n"/>
    </row>
    <row r="837" ht="12.75" customHeight="1" s="38">
      <c r="W837" s="30" t="n"/>
    </row>
    <row r="838" ht="12.75" customHeight="1" s="38">
      <c r="W838" s="30" t="n"/>
    </row>
    <row r="839" ht="12.75" customHeight="1" s="38">
      <c r="W839" s="30" t="n"/>
    </row>
    <row r="840" ht="12.75" customHeight="1" s="38">
      <c r="W840" s="30" t="n"/>
    </row>
    <row r="841" ht="12.75" customHeight="1" s="38">
      <c r="W841" s="30" t="n"/>
    </row>
    <row r="842" ht="12.75" customHeight="1" s="38">
      <c r="W842" s="30" t="n"/>
    </row>
    <row r="843" ht="12.75" customHeight="1" s="38">
      <c r="W843" s="30" t="n"/>
    </row>
    <row r="844" ht="12.75" customHeight="1" s="38">
      <c r="W844" s="30" t="n"/>
    </row>
    <row r="845" ht="12.75" customHeight="1" s="38">
      <c r="W845" s="30" t="n"/>
    </row>
    <row r="846" ht="12.75" customHeight="1" s="38">
      <c r="W846" s="30" t="n"/>
    </row>
    <row r="847" ht="12.75" customHeight="1" s="38">
      <c r="W847" s="30" t="n"/>
    </row>
    <row r="848" ht="12.75" customHeight="1" s="38">
      <c r="W848" s="30" t="n"/>
    </row>
    <row r="849" ht="12.75" customHeight="1" s="38">
      <c r="W849" s="30" t="n"/>
    </row>
    <row r="850" ht="12.75" customHeight="1" s="38">
      <c r="W850" s="30" t="n"/>
    </row>
    <row r="851" ht="12.75" customHeight="1" s="38">
      <c r="W851" s="30" t="n"/>
    </row>
    <row r="852" ht="12.75" customHeight="1" s="38">
      <c r="W852" s="30" t="n"/>
    </row>
    <row r="853" ht="12.75" customHeight="1" s="38">
      <c r="W853" s="30" t="n"/>
    </row>
    <row r="854" ht="12.75" customHeight="1" s="38">
      <c r="W854" s="30" t="n"/>
    </row>
    <row r="855" ht="12.75" customHeight="1" s="38">
      <c r="W855" s="30" t="n"/>
    </row>
    <row r="856" ht="12.75" customHeight="1" s="38">
      <c r="W856" s="30" t="n"/>
    </row>
    <row r="857" ht="12.75" customHeight="1" s="38">
      <c r="W857" s="30" t="n"/>
    </row>
    <row r="858" ht="12.75" customHeight="1" s="38">
      <c r="W858" s="30" t="n"/>
    </row>
    <row r="859" ht="12.75" customHeight="1" s="38">
      <c r="W859" s="30" t="n"/>
    </row>
    <row r="860" ht="12.75" customHeight="1" s="38">
      <c r="W860" s="30" t="n"/>
    </row>
    <row r="861" ht="12.75" customHeight="1" s="38">
      <c r="W861" s="30" t="n"/>
    </row>
    <row r="862" ht="12.75" customHeight="1" s="38">
      <c r="W862" s="30" t="n"/>
    </row>
    <row r="863" ht="12.75" customHeight="1" s="38">
      <c r="W863" s="30" t="n"/>
    </row>
    <row r="864" ht="12.75" customHeight="1" s="38">
      <c r="W864" s="30" t="n"/>
    </row>
    <row r="865" ht="12.75" customHeight="1" s="38">
      <c r="W865" s="30" t="n"/>
    </row>
    <row r="866" ht="12.75" customHeight="1" s="38">
      <c r="W866" s="30" t="n"/>
    </row>
    <row r="867" ht="12.75" customHeight="1" s="38">
      <c r="W867" s="30" t="n"/>
    </row>
    <row r="868" ht="12.75" customHeight="1" s="38">
      <c r="W868" s="30" t="n"/>
    </row>
    <row r="869" ht="12.75" customHeight="1" s="38">
      <c r="W869" s="30" t="n"/>
    </row>
    <row r="870" ht="12.75" customHeight="1" s="38">
      <c r="W870" s="30" t="n"/>
    </row>
    <row r="871" ht="12.75" customHeight="1" s="38">
      <c r="W871" s="30" t="n"/>
    </row>
    <row r="872" ht="12.75" customHeight="1" s="38">
      <c r="W872" s="30" t="n"/>
    </row>
    <row r="873" ht="12.75" customHeight="1" s="38">
      <c r="W873" s="30" t="n"/>
    </row>
    <row r="874" ht="12.75" customHeight="1" s="38">
      <c r="W874" s="30" t="n"/>
    </row>
    <row r="875" ht="12.75" customHeight="1" s="38">
      <c r="W875" s="30" t="n"/>
    </row>
    <row r="876" ht="12.75" customHeight="1" s="38">
      <c r="W876" s="30" t="n"/>
    </row>
    <row r="877" ht="12.75" customHeight="1" s="38">
      <c r="W877" s="30" t="n"/>
    </row>
    <row r="878" ht="12.75" customHeight="1" s="38">
      <c r="W878" s="30" t="n"/>
    </row>
    <row r="879" ht="12.75" customHeight="1" s="38">
      <c r="W879" s="30" t="n"/>
    </row>
    <row r="880" ht="12.75" customHeight="1" s="38">
      <c r="W880" s="30" t="n"/>
    </row>
    <row r="881" ht="12.75" customHeight="1" s="38">
      <c r="W881" s="30" t="n"/>
    </row>
    <row r="882" ht="12.75" customHeight="1" s="38">
      <c r="W882" s="30" t="n"/>
    </row>
    <row r="883" ht="12.75" customHeight="1" s="38">
      <c r="W883" s="30" t="n"/>
    </row>
    <row r="884" ht="12.75" customHeight="1" s="38">
      <c r="W884" s="30" t="n"/>
    </row>
    <row r="885" ht="12.75" customHeight="1" s="38">
      <c r="W885" s="30" t="n"/>
    </row>
    <row r="886" ht="12.75" customHeight="1" s="38">
      <c r="W886" s="30" t="n"/>
    </row>
    <row r="887" ht="12.75" customHeight="1" s="38">
      <c r="W887" s="30" t="n"/>
    </row>
    <row r="888" ht="12.75" customHeight="1" s="38">
      <c r="W888" s="30" t="n"/>
    </row>
    <row r="889" ht="12.75" customHeight="1" s="38">
      <c r="W889" s="30" t="n"/>
    </row>
    <row r="890" ht="12.75" customHeight="1" s="38">
      <c r="W890" s="30" t="n"/>
    </row>
    <row r="891" ht="12.75" customHeight="1" s="38">
      <c r="W891" s="30" t="n"/>
    </row>
    <row r="892" ht="12.75" customHeight="1" s="38">
      <c r="W892" s="30" t="n"/>
    </row>
    <row r="893" ht="12.75" customHeight="1" s="38">
      <c r="W893" s="30" t="n"/>
    </row>
    <row r="894" ht="12.75" customHeight="1" s="38">
      <c r="W894" s="30" t="n"/>
    </row>
    <row r="895" ht="12.75" customHeight="1" s="38">
      <c r="W895" s="30" t="n"/>
    </row>
    <row r="896" ht="12.75" customHeight="1" s="38">
      <c r="W896" s="30" t="n"/>
    </row>
    <row r="897" ht="12.75" customHeight="1" s="38">
      <c r="W897" s="30" t="n"/>
    </row>
    <row r="898" ht="12.75" customHeight="1" s="38">
      <c r="W898" s="30" t="n"/>
    </row>
    <row r="899" ht="12.75" customHeight="1" s="38">
      <c r="W899" s="30" t="n"/>
    </row>
    <row r="900" ht="12.75" customHeight="1" s="38">
      <c r="W900" s="30" t="n"/>
    </row>
    <row r="901" ht="12.75" customHeight="1" s="38">
      <c r="W901" s="30" t="n"/>
    </row>
    <row r="902" ht="12.75" customHeight="1" s="38">
      <c r="W902" s="30" t="n"/>
    </row>
    <row r="903" ht="12.75" customHeight="1" s="38">
      <c r="W903" s="30" t="n"/>
    </row>
    <row r="904" ht="12.75" customHeight="1" s="38">
      <c r="W904" s="30" t="n"/>
    </row>
    <row r="905" ht="12.75" customHeight="1" s="38">
      <c r="W905" s="30" t="n"/>
    </row>
    <row r="906" ht="12.75" customHeight="1" s="38">
      <c r="W906" s="30" t="n"/>
    </row>
    <row r="907" ht="12.75" customHeight="1" s="38">
      <c r="W907" s="30" t="n"/>
    </row>
    <row r="908" ht="12.75" customHeight="1" s="38">
      <c r="W908" s="30" t="n"/>
    </row>
    <row r="909" ht="12.75" customHeight="1" s="38">
      <c r="W909" s="30" t="n"/>
    </row>
    <row r="910" ht="12.75" customHeight="1" s="38">
      <c r="W910" s="30" t="n"/>
    </row>
    <row r="911" ht="12.75" customHeight="1" s="38">
      <c r="W911" s="30" t="n"/>
    </row>
    <row r="912" ht="12.75" customHeight="1" s="38">
      <c r="W912" s="30" t="n"/>
    </row>
    <row r="913" ht="12.75" customHeight="1" s="38">
      <c r="W913" s="30" t="n"/>
    </row>
    <row r="914" ht="12.75" customHeight="1" s="38">
      <c r="W914" s="30" t="n"/>
    </row>
    <row r="915" ht="12.75" customHeight="1" s="38">
      <c r="W915" s="30" t="n"/>
    </row>
    <row r="916" ht="12.75" customHeight="1" s="38">
      <c r="W916" s="30" t="n"/>
    </row>
    <row r="917" ht="12.75" customHeight="1" s="38">
      <c r="W917" s="30" t="n"/>
    </row>
    <row r="918" ht="12.75" customHeight="1" s="38">
      <c r="W918" s="30" t="n"/>
    </row>
    <row r="919" ht="12.75" customHeight="1" s="38">
      <c r="W919" s="30" t="n"/>
    </row>
    <row r="920" ht="12.75" customHeight="1" s="38">
      <c r="W920" s="30" t="n"/>
    </row>
    <row r="921" ht="12.75" customHeight="1" s="38">
      <c r="W921" s="30" t="n"/>
    </row>
    <row r="922" ht="12.75" customHeight="1" s="38">
      <c r="W922" s="30" t="n"/>
    </row>
    <row r="923" ht="12.75" customHeight="1" s="38">
      <c r="W923" s="30" t="n"/>
    </row>
    <row r="924" ht="12.75" customHeight="1" s="38">
      <c r="W924" s="30" t="n"/>
    </row>
    <row r="925" ht="12.75" customHeight="1" s="38">
      <c r="W925" s="30" t="n"/>
    </row>
    <row r="926" ht="12.75" customHeight="1" s="38">
      <c r="W926" s="30" t="n"/>
    </row>
    <row r="927" ht="12.75" customHeight="1" s="38">
      <c r="W927" s="30" t="n"/>
    </row>
    <row r="928" ht="12.75" customHeight="1" s="38">
      <c r="W928" s="30" t="n"/>
    </row>
    <row r="929" ht="12.75" customHeight="1" s="38">
      <c r="W929" s="30" t="n"/>
    </row>
    <row r="930" ht="12.75" customHeight="1" s="38">
      <c r="W930" s="30" t="n"/>
    </row>
    <row r="931" ht="12.75" customHeight="1" s="38">
      <c r="W931" s="30" t="n"/>
    </row>
    <row r="932" ht="12.75" customHeight="1" s="38">
      <c r="W932" s="30" t="n"/>
    </row>
    <row r="933" ht="12.75" customHeight="1" s="38">
      <c r="W933" s="30" t="n"/>
    </row>
    <row r="934" ht="12.75" customHeight="1" s="38">
      <c r="W934" s="30" t="n"/>
    </row>
    <row r="935" ht="12.75" customHeight="1" s="38">
      <c r="W935" s="30" t="n"/>
    </row>
    <row r="936" ht="12.75" customHeight="1" s="38">
      <c r="W936" s="30" t="n"/>
    </row>
    <row r="937" ht="12.75" customHeight="1" s="38">
      <c r="W937" s="30" t="n"/>
    </row>
    <row r="938" ht="12.75" customHeight="1" s="38">
      <c r="W938" s="30" t="n"/>
    </row>
    <row r="939" ht="12.75" customHeight="1" s="38">
      <c r="W939" s="30" t="n"/>
    </row>
    <row r="940" ht="12.75" customHeight="1" s="38">
      <c r="W940" s="30" t="n"/>
    </row>
    <row r="941" ht="12.75" customHeight="1" s="38">
      <c r="W941" s="30" t="n"/>
    </row>
    <row r="942" ht="12.75" customHeight="1" s="38">
      <c r="W942" s="30" t="n"/>
    </row>
    <row r="943" ht="12.75" customHeight="1" s="38">
      <c r="W943" s="30" t="n"/>
    </row>
    <row r="944" ht="12.75" customHeight="1" s="38">
      <c r="W944" s="30" t="n"/>
    </row>
    <row r="945" ht="12.75" customHeight="1" s="38">
      <c r="W945" s="30" t="n"/>
    </row>
    <row r="946" ht="12.75" customHeight="1" s="38">
      <c r="W946" s="30" t="n"/>
    </row>
    <row r="947" ht="12.75" customHeight="1" s="38">
      <c r="W947" s="30" t="n"/>
    </row>
    <row r="948" ht="12.75" customHeight="1" s="38">
      <c r="W948" s="30" t="n"/>
    </row>
    <row r="949" ht="12.75" customHeight="1" s="38">
      <c r="W949" s="30" t="n"/>
    </row>
    <row r="950" ht="12.75" customHeight="1" s="38">
      <c r="W950" s="30" t="n"/>
    </row>
    <row r="951" ht="12.75" customHeight="1" s="38">
      <c r="W951" s="30" t="n"/>
    </row>
    <row r="952" ht="12.75" customHeight="1" s="38">
      <c r="W952" s="30" t="n"/>
    </row>
    <row r="953" ht="12.75" customHeight="1" s="38">
      <c r="W953" s="30" t="n"/>
    </row>
    <row r="954" ht="12.75" customHeight="1" s="38">
      <c r="W954" s="30" t="n"/>
    </row>
    <row r="955" ht="12.75" customHeight="1" s="38">
      <c r="W955" s="30" t="n"/>
    </row>
    <row r="956" ht="12.75" customHeight="1" s="38">
      <c r="W956" s="30" t="n"/>
    </row>
    <row r="957" ht="12.75" customHeight="1" s="38">
      <c r="W957" s="30" t="n"/>
    </row>
    <row r="958" ht="12.75" customHeight="1" s="38">
      <c r="W958" s="30" t="n"/>
    </row>
    <row r="959" ht="12.75" customHeight="1" s="38">
      <c r="W959" s="30" t="n"/>
    </row>
    <row r="960" ht="12.75" customHeight="1" s="38">
      <c r="W960" s="30" t="n"/>
    </row>
    <row r="961" ht="12.75" customHeight="1" s="38">
      <c r="W961" s="30" t="n"/>
    </row>
    <row r="962" ht="12.75" customHeight="1" s="38">
      <c r="W962" s="30" t="n"/>
    </row>
    <row r="963" ht="12.75" customHeight="1" s="38">
      <c r="W963" s="30" t="n"/>
    </row>
    <row r="964" ht="12.75" customHeight="1" s="38">
      <c r="W964" s="30" t="n"/>
    </row>
    <row r="965" ht="12.75" customHeight="1" s="38">
      <c r="W965" s="30" t="n"/>
    </row>
    <row r="966" ht="12.75" customHeight="1" s="38">
      <c r="W966" s="30" t="n"/>
    </row>
    <row r="967" ht="12.75" customHeight="1" s="38">
      <c r="W967" s="30" t="n"/>
    </row>
    <row r="968" ht="12.75" customHeight="1" s="38">
      <c r="W968" s="30" t="n"/>
    </row>
    <row r="969" ht="12.75" customHeight="1" s="38">
      <c r="W969" s="30" t="n"/>
    </row>
    <row r="970" ht="12.75" customHeight="1" s="38">
      <c r="W970" s="30" t="n"/>
    </row>
    <row r="971" ht="12.75" customHeight="1" s="38">
      <c r="W971" s="30" t="n"/>
    </row>
    <row r="972" ht="12.75" customHeight="1" s="38">
      <c r="W972" s="30" t="n"/>
    </row>
    <row r="973" ht="12.75" customHeight="1" s="38">
      <c r="W973" s="30" t="n"/>
    </row>
    <row r="974" ht="12.75" customHeight="1" s="38">
      <c r="W974" s="30" t="n"/>
    </row>
    <row r="975" ht="12.75" customHeight="1" s="38">
      <c r="W975" s="30" t="n"/>
    </row>
    <row r="976" ht="12.75" customHeight="1" s="38">
      <c r="W976" s="30" t="n"/>
    </row>
    <row r="977" ht="12.75" customHeight="1" s="38">
      <c r="W977" s="30" t="n"/>
    </row>
    <row r="978" ht="12.75" customHeight="1" s="38">
      <c r="W978" s="30" t="n"/>
    </row>
    <row r="979" ht="12.75" customHeight="1" s="38">
      <c r="W979" s="30" t="n"/>
    </row>
    <row r="980" ht="12.75" customHeight="1" s="38">
      <c r="W980" s="30" t="n"/>
    </row>
    <row r="981" ht="12.75" customHeight="1" s="38">
      <c r="W981" s="30" t="n"/>
    </row>
    <row r="982" ht="12.75" customHeight="1" s="38">
      <c r="W982" s="30" t="n"/>
    </row>
    <row r="983" ht="12.75" customHeight="1" s="38">
      <c r="W983" s="30" t="n"/>
    </row>
    <row r="984" ht="12.75" customHeight="1" s="38">
      <c r="W984" s="30" t="n"/>
    </row>
    <row r="985" ht="12.75" customHeight="1" s="38">
      <c r="W985" s="30" t="n"/>
    </row>
    <row r="986" ht="12.75" customHeight="1" s="38">
      <c r="W986" s="30" t="n"/>
    </row>
    <row r="987" ht="12.75" customHeight="1" s="38">
      <c r="W987" s="30" t="n"/>
    </row>
    <row r="988" ht="12.75" customHeight="1" s="38">
      <c r="W988" s="30" t="n"/>
    </row>
    <row r="989" ht="12.75" customHeight="1" s="38">
      <c r="W989" s="30" t="n"/>
    </row>
    <row r="990" ht="12.75" customHeight="1" s="38">
      <c r="W990" s="30" t="n"/>
    </row>
    <row r="991" ht="12.75" customHeight="1" s="38">
      <c r="W991" s="30" t="n"/>
    </row>
    <row r="992" ht="12.75" customHeight="1" s="38">
      <c r="W992" s="30" t="n"/>
    </row>
    <row r="993" ht="12.75" customHeight="1" s="38">
      <c r="W993" s="30" t="n"/>
    </row>
    <row r="994" ht="12.75" customHeight="1" s="38">
      <c r="W994" s="30" t="n"/>
    </row>
    <row r="995" ht="12.75" customHeight="1" s="38">
      <c r="W995" s="30" t="n"/>
    </row>
    <row r="996" ht="12.75" customHeight="1" s="38">
      <c r="W996" s="30" t="n"/>
    </row>
    <row r="997" ht="12.75" customHeight="1" s="38">
      <c r="W997" s="30" t="n"/>
    </row>
    <row r="998" ht="12.75" customHeight="1" s="38">
      <c r="W998" s="30" t="n"/>
    </row>
    <row r="999" ht="12.75" customHeight="1" s="38">
      <c r="W999" s="30" t="n"/>
    </row>
    <row r="1000" ht="12.75" customHeight="1" s="38">
      <c r="W1000" s="30" t="n"/>
    </row>
  </sheetData>
  <mergeCells count="2">
    <mergeCell ref="B34:F34"/>
    <mergeCell ref="A1:A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ROG_Zephyrus_G14</dc:creator>
  <dcterms:created xmlns:dcterms="http://purl.org/dc/terms/" xmlns:xsi="http://www.w3.org/2001/XMLSchema-instance" xsi:type="dcterms:W3CDTF">2026-09-15T06:51:47Z</dcterms:created>
  <dcterms:modified xmlns:dcterms="http://purl.org/dc/terms/" xmlns:xsi="http://www.w3.org/2001/XMLSchema-instance" xsi:type="dcterms:W3CDTF">2026-09-15T06:51:47Z</dcterms:modified>
  <cp:lastModifiedBy>Cao Cường Đặng</cp:lastModifiedBy>
</cp:coreProperties>
</file>