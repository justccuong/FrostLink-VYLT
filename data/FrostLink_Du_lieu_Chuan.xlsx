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565C0"/>
      <sz val="12"/>
    </font>
    <font>
      <name val="Arial"/>
      <b val="1"/>
      <color rgb="00000000"/>
      <sz val="9.5"/>
    </font>
    <font>
      <name val="Arial"/>
      <sz val="9"/>
    </font>
    <font>
      <name val="Arial"/>
      <b val="1"/>
      <color rgb="001565C0"/>
      <sz val="11"/>
    </font>
    <font>
      <name val="Arial"/>
      <b val="1"/>
      <color rgb="00FFFFFF"/>
      <sz val="10"/>
    </font>
    <font>
      <name val="Arial"/>
      <b val="1"/>
      <sz val="9.5"/>
    </font>
    <font>
      <name val="Arial"/>
      <sz val="9.5"/>
    </font>
    <font>
      <name val="Arial"/>
      <b val="1"/>
      <color rgb="00000000"/>
      <sz val="10"/>
    </font>
    <font>
      <name val="Arial"/>
      <b val="1"/>
      <color rgb="00D32F2F"/>
      <sz val="10"/>
    </font>
  </fonts>
  <fills count="14">
    <fill>
      <patternFill/>
    </fill>
    <fill>
      <patternFill patternType="gray125"/>
    </fill>
    <fill>
      <patternFill patternType="solid">
        <fgColor rgb="00FFE0B2"/>
        <bgColor rgb="00FFE0B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1BEE7"/>
        <bgColor rgb="00E1BEE7"/>
      </patternFill>
    </fill>
    <fill>
      <patternFill patternType="solid">
        <fgColor rgb="00BBDEFB"/>
        <bgColor rgb="00BBDEFB"/>
      </patternFill>
    </fill>
    <fill>
      <patternFill patternType="solid">
        <fgColor rgb="00E0F2F1"/>
        <bgColor rgb="00E0F2F1"/>
      </patternFill>
    </fill>
    <fill>
      <patternFill patternType="solid">
        <fgColor rgb="00D1C4E9"/>
        <bgColor rgb="00D1C4E9"/>
      </patternFill>
    </fill>
    <fill>
      <patternFill patternType="solid">
        <fgColor rgb="00FFCDD2"/>
        <bgColor rgb="00FFCDD2"/>
      </patternFill>
    </fill>
    <fill>
      <patternFill patternType="solid">
        <fgColor rgb="00F5F5F5"/>
        <bgColor rgb="00F5F5F5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right"/>
    </xf>
    <xf numFmtId="0" fontId="4" fillId="0" borderId="0" pivotButton="0" quotePrefix="0" xfId="0"/>
    <xf numFmtId="0" fontId="5" fillId="13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8" fillId="3" borderId="1" pivotButton="0" quotePrefix="0" xfId="0"/>
    <xf numFmtId="0" fontId="9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13" customWidth="1" min="4" max="4"/>
    <col width="16" customWidth="1" min="5" max="5"/>
    <col width="18" customWidth="1" min="6" max="6"/>
    <col width="28" customWidth="1" min="7" max="7"/>
    <col width="29" customWidth="1" min="8" max="8"/>
    <col width="24" customWidth="1" min="9" max="9"/>
    <col width="24" customWidth="1" min="10" max="10"/>
    <col width="44" customWidth="1" min="11" max="11"/>
    <col width="48" customWidth="1" min="12" max="12"/>
    <col width="48" customWidth="1" min="13" max="13"/>
    <col width="45" customWidth="1" min="14" max="14"/>
    <col width="29" customWidth="1" min="15" max="15"/>
    <col width="47" customWidth="1" min="16" max="16"/>
    <col width="52" customWidth="1" min="17" max="17"/>
    <col width="22" customWidth="1" min="18" max="18"/>
    <col width="31" customWidth="1" min="19" max="19"/>
    <col width="33" customWidth="1" min="20" max="20"/>
    <col width="33" customWidth="1" min="21" max="21"/>
    <col width="15" customWidth="1" min="22" max="22"/>
    <col width="26" customWidth="1" min="23" max="23"/>
    <col width="25" customWidth="1" min="24" max="24"/>
    <col width="45" customWidth="1" min="25" max="25"/>
    <col width="20" customWidth="1" min="26" max="26"/>
    <col width="29" customWidth="1" min="27" max="27"/>
    <col width="23" customWidth="1" min="28" max="28"/>
    <col width="21" customWidth="1" min="29" max="29"/>
    <col width="55" customWidth="1" min="30" max="30"/>
    <col width="55" customWidth="1" min="31" max="31"/>
    <col width="39" customWidth="1" min="32" max="32"/>
    <col width="24" customWidth="1" min="33" max="33"/>
    <col width="37" customWidth="1" min="34" max="34"/>
    <col width="37" customWidth="1" min="35" max="35"/>
    <col width="40" customWidth="1" min="36" max="36"/>
  </cols>
  <sheetData>
    <row r="1">
      <c r="A1" s="1" t="inlineStr">
        <is>
          <t>BẢNG DỮ LIỆU THỰC ĐỊA VÀ MÔ HÌNH ĐIỀU PHỐI CHUỖI LẠNH 3 LỚP FROSTLINK (92 NGÀY - THÁNG 5, 6, 7/2026)</t>
        </is>
      </c>
    </row>
    <row r="2">
      <c r="A2" s="2" t="inlineStr">
        <is>
          <t>Ngày</t>
        </is>
      </c>
      <c r="B2" s="3" t="inlineStr">
        <is>
          <t>Temp_t (°C)</t>
        </is>
      </c>
      <c r="C2" s="3" t="inlineStr">
        <is>
          <t>Rain_t (mm)</t>
        </is>
      </c>
      <c r="D2" s="3" t="inlineStr">
        <is>
          <t>Ripe_t (%)</t>
        </is>
      </c>
      <c r="E2" s="3" t="inlineStr">
        <is>
          <t>Order_t (Tấn)</t>
        </is>
      </c>
      <c r="F2" s="3" t="inlineStr">
        <is>
          <t>PeakDay_t (0/1)</t>
        </is>
      </c>
      <c r="G2" s="4" t="inlineStr">
        <is>
          <t>Sản lượng thu hoạch (Tấn)</t>
        </is>
      </c>
      <c r="H2" s="4" t="inlineStr">
        <is>
          <t>Sản lượng đi xe lạnh (Tấn)</t>
        </is>
      </c>
      <c r="I2" s="5" t="inlineStr">
        <is>
          <t>Nhiệt độ yêu cầu (°C)</t>
        </is>
      </c>
      <c r="J2" s="6" t="inlineStr">
        <is>
          <t>Số xe yêu cầu</t>
        </is>
      </c>
      <c r="K2" s="7" t="inlineStr">
        <is>
          <t>Dự báo T+7 (Tấn)</t>
        </is>
      </c>
      <c r="L2" s="7" t="inlineStr">
        <is>
          <t>Dự báo T+3 (Tấn)</t>
        </is>
      </c>
      <c r="M2" s="7" t="inlineStr">
        <is>
          <t>Dự báo T+1 (Tấn)</t>
        </is>
      </c>
      <c r="N2" s="6" t="inlineStr">
        <is>
          <t>Nhu cầu xe FrostLink (18T)</t>
        </is>
      </c>
      <c r="O2" s="8" t="inlineStr">
        <is>
          <t>Lớp 1 - Cam kết cứng (70%)</t>
        </is>
      </c>
      <c r="P2" s="8" t="inlineStr">
        <is>
          <t>Lớp 2 - Quyền chọn linh hoạt (20%)</t>
        </is>
      </c>
      <c r="Q2" s="8" t="inlineStr">
        <is>
          <t>Trạng thái Lớp 2 (Hủy khi Mưa &gt; 20mm)</t>
        </is>
      </c>
      <c r="R2" s="8" t="inlineStr">
        <is>
          <t>Lớp 2 - Thực chạy</t>
        </is>
      </c>
      <c r="S2" s="9" t="inlineStr">
        <is>
          <t>Chi phí phạt cọc Lớp 2 (VNĐ)</t>
        </is>
      </c>
      <c r="T2" s="8" t="inlineStr">
        <is>
          <t>Lớp 3 - Giao ngay (Bù thực tế)</t>
        </is>
      </c>
      <c r="U2" s="6" t="inlineStr">
        <is>
          <t>Tổng số xe FrostLink thực chạy</t>
        </is>
      </c>
      <c r="V2" s="10" t="inlineStr">
        <is>
          <t>Số xe sẵn có</t>
        </is>
      </c>
      <c r="W2" s="10" t="inlineStr">
        <is>
          <t>Nhiệt độ xe sẵn có (°C)</t>
        </is>
      </c>
      <c r="X2" s="10" t="inlineStr">
        <is>
          <t>Thời gian tìm xe (Giờ)</t>
        </is>
      </c>
      <c r="Y2" s="3" t="inlineStr">
        <is>
          <t>Giá chốt xe (VNĐ)</t>
        </is>
      </c>
      <c r="Z2" s="10" t="inlineStr">
        <is>
          <t>Tỷ lệ hư hỏng (%)</t>
        </is>
      </c>
      <c r="AA2" s="2" t="inlineStr">
        <is>
          <t>Baseline (Dự báo thủ công)</t>
        </is>
      </c>
      <c r="AB2" s="2" t="inlineStr">
        <is>
          <t>Baseline - Sai số xe</t>
        </is>
      </c>
      <c r="AC2" s="10" t="inlineStr">
        <is>
          <t>Kiểm định nhiệt độ</t>
        </is>
      </c>
      <c r="AD2" s="9" t="inlineStr">
        <is>
          <t>Baseline - C_over (VNĐ)</t>
        </is>
      </c>
      <c r="AE2" s="9" t="inlineStr">
        <is>
          <t>Baseline - C_under (VNĐ)</t>
        </is>
      </c>
      <c r="AF2" s="11" t="inlineStr">
        <is>
          <t>Baseline - Tổng chi phí rủi ro (VNĐ)</t>
        </is>
      </c>
      <c r="AG2" s="4" t="inlineStr">
        <is>
          <t>FrostLink - Sai số xe</t>
        </is>
      </c>
      <c r="AH2" s="4" t="inlineStr">
        <is>
          <t>FrostLink - C_over (VNĐ)</t>
        </is>
      </c>
      <c r="AI2" s="4" t="inlineStr">
        <is>
          <t>FrostLink - C_under (VNĐ)</t>
        </is>
      </c>
      <c r="AJ2" s="12" t="inlineStr">
        <is>
          <t>FrostLink - Tổng chi phí rủi ro (VNĐ)</t>
        </is>
      </c>
    </row>
    <row r="3">
      <c r="A3" s="13" t="inlineStr">
        <is>
          <t>Ngày 01 (01/05)</t>
        </is>
      </c>
      <c r="B3" s="14" t="n">
        <v>24.4</v>
      </c>
      <c r="C3" s="14" t="n">
        <v>0</v>
      </c>
      <c r="D3" s="14" t="n">
        <v>0.11</v>
      </c>
      <c r="E3" s="14" t="n">
        <v>55.7</v>
      </c>
      <c r="F3" s="14" t="n">
        <v>1</v>
      </c>
      <c r="G3" s="14" t="n">
        <v>65.5</v>
      </c>
      <c r="H3" s="14">
        <f>G3*IF(F3=1, 0.85, 0.8)</f>
        <v/>
      </c>
      <c r="I3" s="13" t="inlineStr">
        <is>
          <t>2-4</t>
        </is>
      </c>
      <c r="J3" s="14">
        <f>ROUNDUP(H3/17.2, 0)</f>
        <v/>
      </c>
      <c r="K3" s="14">
        <f>ROUND(TREND(G$3:G$94, E$3:E$94, E3), 1)</f>
        <v/>
      </c>
      <c r="L3" s="14">
        <f>ROUND(TREND(G$3:G$94, B$3:E$94, B3:E3), 1)</f>
        <v/>
      </c>
      <c r="M3" s="14">
        <f>ROUND(TREND(G$3:G$94, B$3:F$94, B3:F3), 1)</f>
        <v/>
      </c>
      <c r="N3" s="14">
        <f>ROUNDUP(M3*IF(F3=1, 0.85, 0.8)/17.2, 0)</f>
        <v/>
      </c>
      <c r="O3" s="14">
        <f>ROUND(N3*70%, 0)</f>
        <v/>
      </c>
      <c r="P3" s="14">
        <f>MIN(ROUNDUP(N3*0.2, 0), MAX(0, N3 - O3))</f>
        <v/>
      </c>
      <c r="Q3" s="13">
        <f>IF(C3&gt;20, "Hủy slot (Mưa &gt; 20mm)", "Kích hoạt")</f>
        <v/>
      </c>
      <c r="R3" s="14">
        <f>IF(C3&gt;20, 0, P3)</f>
        <v/>
      </c>
      <c r="S3" s="14">
        <f>IF(C3&gt;20, P3*0.4*Y3, 0)</f>
        <v/>
      </c>
      <c r="T3" s="14">
        <f>MAX(0, J3 - O3 - R3)</f>
        <v/>
      </c>
      <c r="U3" s="14">
        <f>O3 + R3 + T3</f>
        <v/>
      </c>
      <c r="V3" s="14" t="n">
        <v>9</v>
      </c>
      <c r="W3" s="13" t="inlineStr">
        <is>
          <t>2-4</t>
        </is>
      </c>
      <c r="X3" s="14" t="n">
        <v>1</v>
      </c>
      <c r="Y3" s="14">
        <f>IF(OR(B3&gt;=34, F3=1), 11700000, 9000000)</f>
        <v/>
      </c>
      <c r="Z3" s="14" t="n">
        <v>0.02</v>
      </c>
      <c r="AA3" s="14" t="n"/>
      <c r="AB3" s="14" t="n"/>
      <c r="AC3" s="13" t="inlineStr">
        <is>
          <t>Hợp lệ</t>
        </is>
      </c>
      <c r="AD3" s="14">
        <f>IF(AA3="", 0, IF(AA3&gt;J3, (AA3-J3)*2700000, 0))</f>
        <v/>
      </c>
      <c r="AE3" s="14">
        <f>IF(AA3="", 0, IF(J3&gt;AA3, (J3-AA3)*6000000, 0))</f>
        <v/>
      </c>
      <c r="AF3" s="14">
        <f>AD3 + AE3</f>
        <v/>
      </c>
      <c r="AG3" s="14">
        <f>ABS(U3 - J3)</f>
        <v/>
      </c>
      <c r="AH3" s="14">
        <f>IF(U3&gt;J3, (U3-J3)*2700000, 0)</f>
        <v/>
      </c>
      <c r="AI3" s="14">
        <f>IF(J3&gt;U3, (J3-U3)*6000000, 0)</f>
        <v/>
      </c>
      <c r="AJ3" s="14">
        <f>AH3 + AI3 + S3</f>
        <v/>
      </c>
    </row>
    <row r="4">
      <c r="A4" s="13" t="inlineStr">
        <is>
          <t>Ngày 02 (02/05)</t>
        </is>
      </c>
      <c r="B4" s="14" t="n">
        <v>26.7</v>
      </c>
      <c r="C4" s="14" t="n">
        <v>0</v>
      </c>
      <c r="D4" s="14" t="n">
        <v>0.12</v>
      </c>
      <c r="E4" s="14" t="n">
        <v>32.3</v>
      </c>
      <c r="F4" s="14" t="n">
        <v>0</v>
      </c>
      <c r="G4" s="14" t="n">
        <v>20</v>
      </c>
      <c r="H4" s="14">
        <f>G4*IF(F4=1, 0.85, 0.8)</f>
        <v/>
      </c>
      <c r="I4" s="13" t="inlineStr">
        <is>
          <t>2-4</t>
        </is>
      </c>
      <c r="J4" s="14">
        <f>ROUNDUP(H4/17.2, 0)</f>
        <v/>
      </c>
      <c r="K4" s="14">
        <f>ROUND(TREND(G$3:G$94, E$3:E$94, E4), 1)</f>
        <v/>
      </c>
      <c r="L4" s="14">
        <f>ROUND(TREND(G$3:G$94, B$3:E$94, B4:E4), 1)</f>
        <v/>
      </c>
      <c r="M4" s="14">
        <f>ROUND(TREND(G$3:G$94, B$3:F$94, B4:F4), 1)</f>
        <v/>
      </c>
      <c r="N4" s="14">
        <f>ROUNDUP(M4*IF(F4=1, 0.85, 0.8)/17.2, 0)</f>
        <v/>
      </c>
      <c r="O4" s="14">
        <f>ROUND(N4*70%, 0)</f>
        <v/>
      </c>
      <c r="P4" s="14">
        <f>MIN(ROUNDUP(N4*0.2, 0), MAX(0, N4 - O4))</f>
        <v/>
      </c>
      <c r="Q4" s="13">
        <f>IF(C4&gt;20, "Hủy slot (Mưa &gt; 20mm)", "Kích hoạt")</f>
        <v/>
      </c>
      <c r="R4" s="14">
        <f>IF(C4&gt;20, 0, P4)</f>
        <v/>
      </c>
      <c r="S4" s="14">
        <f>IF(C4&gt;20, P4*0.4*Y4, 0)</f>
        <v/>
      </c>
      <c r="T4" s="14">
        <f>MAX(0, J4 - O4 - R4)</f>
        <v/>
      </c>
      <c r="U4" s="14">
        <f>O4 + R4 + T4</f>
        <v/>
      </c>
      <c r="V4" s="14" t="n">
        <v>6</v>
      </c>
      <c r="W4" s="13" t="inlineStr">
        <is>
          <t>2-4</t>
        </is>
      </c>
      <c r="X4" s="14" t="n">
        <v>2</v>
      </c>
      <c r="Y4" s="14">
        <f>IF(OR(B4&gt;=34, F4=1), 11700000, 9000000)</f>
        <v/>
      </c>
      <c r="Z4" s="14" t="n">
        <v>0.02</v>
      </c>
      <c r="AA4" s="14" t="n"/>
      <c r="AB4" s="14" t="n"/>
      <c r="AC4" s="13" t="inlineStr">
        <is>
          <t>Hợp lệ</t>
        </is>
      </c>
      <c r="AD4" s="14">
        <f>IF(AA4="", 0, IF(AA4&gt;J4, (AA4-J4)*2700000, 0))</f>
        <v/>
      </c>
      <c r="AE4" s="14">
        <f>IF(AA4="", 0, IF(J4&gt;AA4, (J4-AA4)*6000000, 0))</f>
        <v/>
      </c>
      <c r="AF4" s="14">
        <f>AD4 + AE4</f>
        <v/>
      </c>
      <c r="AG4" s="14">
        <f>ABS(U4 - J4)</f>
        <v/>
      </c>
      <c r="AH4" s="14">
        <f>IF(U4&gt;J4, (U4-J4)*2700000, 0)</f>
        <v/>
      </c>
      <c r="AI4" s="14">
        <f>IF(J4&gt;U4, (J4-U4)*6000000, 0)</f>
        <v/>
      </c>
      <c r="AJ4" s="14">
        <f>AH4 + AI4 + S4</f>
        <v/>
      </c>
    </row>
    <row r="5">
      <c r="A5" s="13" t="inlineStr">
        <is>
          <t>Ngày 03 (03/05)</t>
        </is>
      </c>
      <c r="B5" s="14" t="n">
        <v>26.8</v>
      </c>
      <c r="C5" s="14" t="n">
        <v>0</v>
      </c>
      <c r="D5" s="14" t="n">
        <v>0.14</v>
      </c>
      <c r="E5" s="14" t="n">
        <v>37.2</v>
      </c>
      <c r="F5" s="14" t="n">
        <v>0</v>
      </c>
      <c r="G5" s="14" t="n">
        <v>20</v>
      </c>
      <c r="H5" s="14">
        <f>G5*IF(F5=1, 0.85, 0.8)</f>
        <v/>
      </c>
      <c r="I5" s="13" t="inlineStr">
        <is>
          <t>2-4</t>
        </is>
      </c>
      <c r="J5" s="14">
        <f>ROUNDUP(H5/17.2, 0)</f>
        <v/>
      </c>
      <c r="K5" s="14">
        <f>ROUND(TREND(G$3:G$94, E$3:E$94, E5), 1)</f>
        <v/>
      </c>
      <c r="L5" s="14">
        <f>ROUND(TREND(G$3:G$94, B$3:E$94, B5:E5), 1)</f>
        <v/>
      </c>
      <c r="M5" s="14">
        <f>ROUND(TREND(G$3:G$94, B$3:F$94, B5:F5), 1)</f>
        <v/>
      </c>
      <c r="N5" s="14">
        <f>ROUNDUP(M5*IF(F5=1, 0.85, 0.8)/17.2, 0)</f>
        <v/>
      </c>
      <c r="O5" s="14">
        <f>ROUND(N5*70%, 0)</f>
        <v/>
      </c>
      <c r="P5" s="14">
        <f>MIN(ROUNDUP(N5*0.2, 0), MAX(0, N5 - O5))</f>
        <v/>
      </c>
      <c r="Q5" s="13">
        <f>IF(C5&gt;20, "Hủy slot (Mưa &gt; 20mm)", "Kích hoạt")</f>
        <v/>
      </c>
      <c r="R5" s="14">
        <f>IF(C5&gt;20, 0, P5)</f>
        <v/>
      </c>
      <c r="S5" s="14">
        <f>IF(C5&gt;20, P5*0.4*Y5, 0)</f>
        <v/>
      </c>
      <c r="T5" s="14">
        <f>MAX(0, J5 - O5 - R5)</f>
        <v/>
      </c>
      <c r="U5" s="14">
        <f>O5 + R5 + T5</f>
        <v/>
      </c>
      <c r="V5" s="14" t="n">
        <v>3</v>
      </c>
      <c r="W5" s="13" t="inlineStr">
        <is>
          <t>2-4</t>
        </is>
      </c>
      <c r="X5" s="14" t="n">
        <v>3</v>
      </c>
      <c r="Y5" s="14">
        <f>IF(OR(B5&gt;=34, F5=1), 11700000, 9000000)</f>
        <v/>
      </c>
      <c r="Z5" s="14" t="n">
        <v>0.02</v>
      </c>
      <c r="AA5" s="14" t="n"/>
      <c r="AB5" s="14" t="n"/>
      <c r="AC5" s="13" t="inlineStr">
        <is>
          <t>Hợp lệ</t>
        </is>
      </c>
      <c r="AD5" s="14">
        <f>IF(AA5="", 0, IF(AA5&gt;J5, (AA5-J5)*2700000, 0))</f>
        <v/>
      </c>
      <c r="AE5" s="14">
        <f>IF(AA5="", 0, IF(J5&gt;AA5, (J5-AA5)*6000000, 0))</f>
        <v/>
      </c>
      <c r="AF5" s="14">
        <f>AD5 + AE5</f>
        <v/>
      </c>
      <c r="AG5" s="14">
        <f>ABS(U5 - J5)</f>
        <v/>
      </c>
      <c r="AH5" s="14">
        <f>IF(U5&gt;J5, (U5-J5)*2700000, 0)</f>
        <v/>
      </c>
      <c r="AI5" s="14">
        <f>IF(J5&gt;U5, (J5-U5)*6000000, 0)</f>
        <v/>
      </c>
      <c r="AJ5" s="14">
        <f>AH5 + AI5 + S5</f>
        <v/>
      </c>
    </row>
    <row r="6">
      <c r="A6" s="13" t="inlineStr">
        <is>
          <t>Ngày 04 (04/05)</t>
        </is>
      </c>
      <c r="B6" s="14" t="n">
        <v>26.2</v>
      </c>
      <c r="C6" s="14" t="n">
        <v>0</v>
      </c>
      <c r="D6" s="14" t="n">
        <v>0.15</v>
      </c>
      <c r="E6" s="14" t="n">
        <v>35.2</v>
      </c>
      <c r="F6" s="14" t="n">
        <v>0</v>
      </c>
      <c r="G6" s="14" t="n">
        <v>31.1</v>
      </c>
      <c r="H6" s="14">
        <f>G6*IF(F6=1, 0.85, 0.8)</f>
        <v/>
      </c>
      <c r="I6" s="13" t="inlineStr">
        <is>
          <t>2-4</t>
        </is>
      </c>
      <c r="J6" s="14">
        <f>ROUNDUP(H6/17.2, 0)</f>
        <v/>
      </c>
      <c r="K6" s="14">
        <f>ROUND(TREND(G$3:G$94, E$3:E$94, E6), 1)</f>
        <v/>
      </c>
      <c r="L6" s="14">
        <f>ROUND(TREND(G$3:G$94, B$3:E$94, B6:E6), 1)</f>
        <v/>
      </c>
      <c r="M6" s="14">
        <f>ROUND(TREND(G$3:G$94, B$3:F$94, B6:F6), 1)</f>
        <v/>
      </c>
      <c r="N6" s="14">
        <f>ROUNDUP(M6*IF(F6=1, 0.85, 0.8)/17.2, 0)</f>
        <v/>
      </c>
      <c r="O6" s="14">
        <f>ROUND(N6*70%, 0)</f>
        <v/>
      </c>
      <c r="P6" s="14">
        <f>MIN(ROUNDUP(N6*0.2, 0), MAX(0, N6 - O6))</f>
        <v/>
      </c>
      <c r="Q6" s="13">
        <f>IF(C6&gt;20, "Hủy slot (Mưa &gt; 20mm)", "Kích hoạt")</f>
        <v/>
      </c>
      <c r="R6" s="14">
        <f>IF(C6&gt;20, 0, P6)</f>
        <v/>
      </c>
      <c r="S6" s="14">
        <f>IF(C6&gt;20, P6*0.4*Y6, 0)</f>
        <v/>
      </c>
      <c r="T6" s="14">
        <f>MAX(0, J6 - O6 - R6)</f>
        <v/>
      </c>
      <c r="U6" s="14">
        <f>O6 + R6 + T6</f>
        <v/>
      </c>
      <c r="V6" s="14" t="n">
        <v>5</v>
      </c>
      <c r="W6" s="13" t="inlineStr">
        <is>
          <t>2-4</t>
        </is>
      </c>
      <c r="X6" s="14" t="n">
        <v>2</v>
      </c>
      <c r="Y6" s="14">
        <f>IF(OR(B6&gt;=34, F6=1), 11700000, 9000000)</f>
        <v/>
      </c>
      <c r="Z6" s="14" t="n">
        <v>0.02</v>
      </c>
      <c r="AA6" s="14">
        <f>AVERAGE(J3:J5)</f>
        <v/>
      </c>
      <c r="AB6" s="14">
        <f>ABS(J6 - AA6)</f>
        <v/>
      </c>
      <c r="AC6" s="13" t="inlineStr">
        <is>
          <t>Hợp lệ</t>
        </is>
      </c>
      <c r="AD6" s="14">
        <f>IF(AA6="", 0, IF(AA6&gt;J6, (AA6-J6)*2700000, 0))</f>
        <v/>
      </c>
      <c r="AE6" s="14">
        <f>IF(AA6="", 0, IF(J6&gt;AA6, (J6-AA6)*6000000, 0))</f>
        <v/>
      </c>
      <c r="AF6" s="14">
        <f>AD6 + AE6</f>
        <v/>
      </c>
      <c r="AG6" s="14">
        <f>ABS(U6 - J6)</f>
        <v/>
      </c>
      <c r="AH6" s="14">
        <f>IF(U6&gt;J6, (U6-J6)*2700000, 0)</f>
        <v/>
      </c>
      <c r="AI6" s="14">
        <f>IF(J6&gt;U6, (J6-U6)*6000000, 0)</f>
        <v/>
      </c>
      <c r="AJ6" s="14">
        <f>AH6 + AI6 + S6</f>
        <v/>
      </c>
    </row>
    <row r="7">
      <c r="A7" s="13" t="inlineStr">
        <is>
          <t>Ngày 05 (05/05)</t>
        </is>
      </c>
      <c r="B7" s="14" t="n">
        <v>26.5</v>
      </c>
      <c r="C7" s="14" t="n">
        <v>15</v>
      </c>
      <c r="D7" s="14" t="n">
        <v>0.16</v>
      </c>
      <c r="E7" s="14" t="n">
        <v>42.4</v>
      </c>
      <c r="F7" s="14" t="n">
        <v>0</v>
      </c>
      <c r="G7" s="14" t="n">
        <v>48</v>
      </c>
      <c r="H7" s="14">
        <f>G7*IF(F7=1, 0.85, 0.8)</f>
        <v/>
      </c>
      <c r="I7" s="13" t="inlineStr">
        <is>
          <t>2-4</t>
        </is>
      </c>
      <c r="J7" s="14">
        <f>ROUNDUP(H7/17.2, 0)</f>
        <v/>
      </c>
      <c r="K7" s="14">
        <f>ROUND(TREND(G$3:G$94, E$3:E$94, E7), 1)</f>
        <v/>
      </c>
      <c r="L7" s="14">
        <f>ROUND(TREND(G$3:G$94, B$3:E$94, B7:E7), 1)</f>
        <v/>
      </c>
      <c r="M7" s="14">
        <f>ROUND(TREND(G$3:G$94, B$3:F$94, B7:F7), 1)</f>
        <v/>
      </c>
      <c r="N7" s="14">
        <f>ROUNDUP(M7*IF(F7=1, 0.85, 0.8)/17.2, 0)</f>
        <v/>
      </c>
      <c r="O7" s="14">
        <f>ROUND(N7*70%, 0)</f>
        <v/>
      </c>
      <c r="P7" s="14">
        <f>MIN(ROUNDUP(N7*0.2, 0), MAX(0, N7 - O7))</f>
        <v/>
      </c>
      <c r="Q7" s="13">
        <f>IF(C7&gt;20, "Hủy slot (Mưa &gt; 20mm)", "Kích hoạt")</f>
        <v/>
      </c>
      <c r="R7" s="14">
        <f>IF(C7&gt;20, 0, P7)</f>
        <v/>
      </c>
      <c r="S7" s="14">
        <f>IF(C7&gt;20, P7*0.4*Y7, 0)</f>
        <v/>
      </c>
      <c r="T7" s="14">
        <f>MAX(0, J7 - O7 - R7)</f>
        <v/>
      </c>
      <c r="U7" s="14">
        <f>O7 + R7 + T7</f>
        <v/>
      </c>
      <c r="V7" s="14" t="n">
        <v>7</v>
      </c>
      <c r="W7" s="13" t="inlineStr">
        <is>
          <t>2-4</t>
        </is>
      </c>
      <c r="X7" s="14" t="n">
        <v>3</v>
      </c>
      <c r="Y7" s="14">
        <f>IF(OR(B7&gt;=34, F7=1), 11700000, 9000000)</f>
        <v/>
      </c>
      <c r="Z7" s="14" t="n">
        <v>0.02</v>
      </c>
      <c r="AA7" s="14">
        <f>AVERAGE(J4:J6)</f>
        <v/>
      </c>
      <c r="AB7" s="14">
        <f>ABS(J7 - AA7)</f>
        <v/>
      </c>
      <c r="AC7" s="13" t="inlineStr">
        <is>
          <t>Hợp lệ</t>
        </is>
      </c>
      <c r="AD7" s="14">
        <f>IF(AA7="", 0, IF(AA7&gt;J7, (AA7-J7)*2700000, 0))</f>
        <v/>
      </c>
      <c r="AE7" s="14">
        <f>IF(AA7="", 0, IF(J7&gt;AA7, (J7-AA7)*6000000, 0))</f>
        <v/>
      </c>
      <c r="AF7" s="14">
        <f>AD7 + AE7</f>
        <v/>
      </c>
      <c r="AG7" s="14">
        <f>ABS(U7 - J7)</f>
        <v/>
      </c>
      <c r="AH7" s="14">
        <f>IF(U7&gt;J7, (U7-J7)*2700000, 0)</f>
        <v/>
      </c>
      <c r="AI7" s="14">
        <f>IF(J7&gt;U7, (J7-U7)*6000000, 0)</f>
        <v/>
      </c>
      <c r="AJ7" s="14">
        <f>AH7 + AI7 + S7</f>
        <v/>
      </c>
    </row>
    <row r="8">
      <c r="A8" s="13" t="inlineStr">
        <is>
          <t>Ngày 06 (06/05)</t>
        </is>
      </c>
      <c r="B8" s="14" t="n">
        <v>28.6</v>
      </c>
      <c r="C8" s="14" t="n">
        <v>0</v>
      </c>
      <c r="D8" s="14" t="n">
        <v>0.17</v>
      </c>
      <c r="E8" s="14" t="n">
        <v>52.3</v>
      </c>
      <c r="F8" s="14" t="n">
        <v>0</v>
      </c>
      <c r="G8" s="14" t="n">
        <v>60.2</v>
      </c>
      <c r="H8" s="14">
        <f>G8*IF(F8=1, 0.85, 0.8)</f>
        <v/>
      </c>
      <c r="I8" s="13" t="inlineStr">
        <is>
          <t>2-4</t>
        </is>
      </c>
      <c r="J8" s="14">
        <f>ROUNDUP(H8/17.2, 0)</f>
        <v/>
      </c>
      <c r="K8" s="14">
        <f>ROUND(TREND(G$3:G$94, E$3:E$94, E8), 1)</f>
        <v/>
      </c>
      <c r="L8" s="14">
        <f>ROUND(TREND(G$3:G$94, B$3:E$94, B8:E8), 1)</f>
        <v/>
      </c>
      <c r="M8" s="14">
        <f>ROUND(TREND(G$3:G$94, B$3:F$94, B8:F8), 1)</f>
        <v/>
      </c>
      <c r="N8" s="14">
        <f>ROUNDUP(M8*IF(F8=1, 0.85, 0.8)/17.2, 0)</f>
        <v/>
      </c>
      <c r="O8" s="14">
        <f>ROUND(N8*70%, 0)</f>
        <v/>
      </c>
      <c r="P8" s="14">
        <f>MIN(ROUNDUP(N8*0.2, 0), MAX(0, N8 - O8))</f>
        <v/>
      </c>
      <c r="Q8" s="13">
        <f>IF(C8&gt;20, "Hủy slot (Mưa &gt; 20mm)", "Kích hoạt")</f>
        <v/>
      </c>
      <c r="R8" s="14">
        <f>IF(C8&gt;20, 0, P8)</f>
        <v/>
      </c>
      <c r="S8" s="14">
        <f>IF(C8&gt;20, P8*0.4*Y8, 0)</f>
        <v/>
      </c>
      <c r="T8" s="14">
        <f>MAX(0, J8 - O8 - R8)</f>
        <v/>
      </c>
      <c r="U8" s="14">
        <f>O8 + R8 + T8</f>
        <v/>
      </c>
      <c r="V8" s="14" t="n">
        <v>5</v>
      </c>
      <c r="W8" s="13" t="inlineStr">
        <is>
          <t>2-4</t>
        </is>
      </c>
      <c r="X8" s="14" t="n">
        <v>3</v>
      </c>
      <c r="Y8" s="14">
        <f>IF(OR(B8&gt;=34, F8=1), 11700000, 9000000)</f>
        <v/>
      </c>
      <c r="Z8" s="14" t="n">
        <v>0.02</v>
      </c>
      <c r="AA8" s="14">
        <f>AVERAGE(J5:J7)</f>
        <v/>
      </c>
      <c r="AB8" s="14">
        <f>ABS(J8 - AA8)</f>
        <v/>
      </c>
      <c r="AC8" s="13" t="inlineStr">
        <is>
          <t>Hợp lệ</t>
        </is>
      </c>
      <c r="AD8" s="14">
        <f>IF(AA8="", 0, IF(AA8&gt;J8, (AA8-J8)*2700000, 0))</f>
        <v/>
      </c>
      <c r="AE8" s="14">
        <f>IF(AA8="", 0, IF(J8&gt;AA8, (J8-AA8)*6000000, 0))</f>
        <v/>
      </c>
      <c r="AF8" s="14">
        <f>AD8 + AE8</f>
        <v/>
      </c>
      <c r="AG8" s="14">
        <f>ABS(U8 - J8)</f>
        <v/>
      </c>
      <c r="AH8" s="14">
        <f>IF(U8&gt;J8, (U8-J8)*2700000, 0)</f>
        <v/>
      </c>
      <c r="AI8" s="14">
        <f>IF(J8&gt;U8, (J8-U8)*6000000, 0)</f>
        <v/>
      </c>
      <c r="AJ8" s="14">
        <f>AH8 + AI8 + S8</f>
        <v/>
      </c>
    </row>
    <row r="9">
      <c r="A9" s="13" t="inlineStr">
        <is>
          <t>Ngày 07 (07/05)</t>
        </is>
      </c>
      <c r="B9" s="14" t="n">
        <v>27.1</v>
      </c>
      <c r="C9" s="14" t="n">
        <v>0</v>
      </c>
      <c r="D9" s="14" t="n">
        <v>0.19</v>
      </c>
      <c r="E9" s="14" t="n">
        <v>88.59999999999999</v>
      </c>
      <c r="F9" s="14" t="n">
        <v>1</v>
      </c>
      <c r="G9" s="14" t="n">
        <v>96.3</v>
      </c>
      <c r="H9" s="14">
        <f>G9*IF(F9=1, 0.85, 0.8)</f>
        <v/>
      </c>
      <c r="I9" s="13" t="inlineStr">
        <is>
          <t>2-4</t>
        </is>
      </c>
      <c r="J9" s="14">
        <f>ROUNDUP(H9/17.2, 0)</f>
        <v/>
      </c>
      <c r="K9" s="14">
        <f>ROUND(TREND(G$3:G$94, E$3:E$94, E9), 1)</f>
        <v/>
      </c>
      <c r="L9" s="14">
        <f>ROUND(TREND(G$3:G$94, B$3:E$94, B9:E9), 1)</f>
        <v/>
      </c>
      <c r="M9" s="14">
        <f>ROUND(TREND(G$3:G$94, B$3:F$94, B9:F9), 1)</f>
        <v/>
      </c>
      <c r="N9" s="14">
        <f>ROUNDUP(M9*IF(F9=1, 0.85, 0.8)/17.2, 0)</f>
        <v/>
      </c>
      <c r="O9" s="14">
        <f>ROUND(N9*70%, 0)</f>
        <v/>
      </c>
      <c r="P9" s="14">
        <f>MIN(ROUNDUP(N9*0.2, 0), MAX(0, N9 - O9))</f>
        <v/>
      </c>
      <c r="Q9" s="13">
        <f>IF(C9&gt;20, "Hủy slot (Mưa &gt; 20mm)", "Kích hoạt")</f>
        <v/>
      </c>
      <c r="R9" s="14">
        <f>IF(C9&gt;20, 0, P9)</f>
        <v/>
      </c>
      <c r="S9" s="14">
        <f>IF(C9&gt;20, P9*0.4*Y9, 0)</f>
        <v/>
      </c>
      <c r="T9" s="14">
        <f>MAX(0, J9 - O9 - R9)</f>
        <v/>
      </c>
      <c r="U9" s="14">
        <f>O9 + R9 + T9</f>
        <v/>
      </c>
      <c r="V9" s="14" t="n">
        <v>7</v>
      </c>
      <c r="W9" s="13" t="inlineStr">
        <is>
          <t>2-4</t>
        </is>
      </c>
      <c r="X9" s="14" t="n">
        <v>3</v>
      </c>
      <c r="Y9" s="14">
        <f>IF(OR(B9&gt;=34, F9=1), 11700000, 9000000)</f>
        <v/>
      </c>
      <c r="Z9" s="14" t="n">
        <v>0.02</v>
      </c>
      <c r="AA9" s="14">
        <f>AVERAGE(J6:J8)</f>
        <v/>
      </c>
      <c r="AB9" s="14">
        <f>ABS(J9 - AA9)</f>
        <v/>
      </c>
      <c r="AC9" s="13" t="inlineStr">
        <is>
          <t>Hợp lệ</t>
        </is>
      </c>
      <c r="AD9" s="14">
        <f>IF(AA9="", 0, IF(AA9&gt;J9, (AA9-J9)*2700000, 0))</f>
        <v/>
      </c>
      <c r="AE9" s="14">
        <f>IF(AA9="", 0, IF(J9&gt;AA9, (J9-AA9)*6000000, 0))</f>
        <v/>
      </c>
      <c r="AF9" s="14">
        <f>AD9 + AE9</f>
        <v/>
      </c>
      <c r="AG9" s="14">
        <f>ABS(U9 - J9)</f>
        <v/>
      </c>
      <c r="AH9" s="14">
        <f>IF(U9&gt;J9, (U9-J9)*2700000, 0)</f>
        <v/>
      </c>
      <c r="AI9" s="14">
        <f>IF(J9&gt;U9, (J9-U9)*6000000, 0)</f>
        <v/>
      </c>
      <c r="AJ9" s="14">
        <f>AH9 + AI9 + S9</f>
        <v/>
      </c>
    </row>
    <row r="10">
      <c r="A10" s="13" t="inlineStr">
        <is>
          <t>Ngày 08 (08/05)</t>
        </is>
      </c>
      <c r="B10" s="14" t="n">
        <v>27.7</v>
      </c>
      <c r="C10" s="14" t="n">
        <v>0</v>
      </c>
      <c r="D10" s="14" t="n">
        <v>0.2</v>
      </c>
      <c r="E10" s="14" t="n">
        <v>97.7</v>
      </c>
      <c r="F10" s="14" t="n">
        <v>1</v>
      </c>
      <c r="G10" s="14" t="n">
        <v>82</v>
      </c>
      <c r="H10" s="14">
        <f>G10*IF(F10=1, 0.85, 0.8)</f>
        <v/>
      </c>
      <c r="I10" s="13" t="inlineStr">
        <is>
          <t>2-4</t>
        </is>
      </c>
      <c r="J10" s="14">
        <f>ROUNDUP(H10/17.2, 0)</f>
        <v/>
      </c>
      <c r="K10" s="14">
        <f>ROUND(TREND(G$3:G$94, E$3:E$94, E10), 1)</f>
        <v/>
      </c>
      <c r="L10" s="14">
        <f>ROUND(TREND(G$3:G$94, B$3:E$94, B10:E10), 1)</f>
        <v/>
      </c>
      <c r="M10" s="14">
        <f>ROUND(TREND(G$3:G$94, B$3:F$94, B10:F10), 1)</f>
        <v/>
      </c>
      <c r="N10" s="14">
        <f>ROUNDUP(M10*IF(F10=1, 0.85, 0.8)/17.2, 0)</f>
        <v/>
      </c>
      <c r="O10" s="14">
        <f>ROUND(N10*70%, 0)</f>
        <v/>
      </c>
      <c r="P10" s="14">
        <f>MIN(ROUNDUP(N10*0.2, 0), MAX(0, N10 - O10))</f>
        <v/>
      </c>
      <c r="Q10" s="13">
        <f>IF(C10&gt;20, "Hủy slot (Mưa &gt; 20mm)", "Kích hoạt")</f>
        <v/>
      </c>
      <c r="R10" s="14">
        <f>IF(C10&gt;20, 0, P10)</f>
        <v/>
      </c>
      <c r="S10" s="14">
        <f>IF(C10&gt;20, P10*0.4*Y10, 0)</f>
        <v/>
      </c>
      <c r="T10" s="14">
        <f>MAX(0, J10 - O10 - R10)</f>
        <v/>
      </c>
      <c r="U10" s="14">
        <f>O10 + R10 + T10</f>
        <v/>
      </c>
      <c r="V10" s="14" t="n">
        <v>7</v>
      </c>
      <c r="W10" s="13" t="inlineStr">
        <is>
          <t>2-4</t>
        </is>
      </c>
      <c r="X10" s="14" t="n">
        <v>2</v>
      </c>
      <c r="Y10" s="14">
        <f>IF(OR(B10&gt;=34, F10=1), 11700000, 9000000)</f>
        <v/>
      </c>
      <c r="Z10" s="14" t="n">
        <v>0.02</v>
      </c>
      <c r="AA10" s="14">
        <f>AVERAGE(J7:J9)</f>
        <v/>
      </c>
      <c r="AB10" s="14">
        <f>ABS(J10 - AA10)</f>
        <v/>
      </c>
      <c r="AC10" s="13" t="inlineStr">
        <is>
          <t>Hợp lệ</t>
        </is>
      </c>
      <c r="AD10" s="14">
        <f>IF(AA10="", 0, IF(AA10&gt;J10, (AA10-J10)*2700000, 0))</f>
        <v/>
      </c>
      <c r="AE10" s="14">
        <f>IF(AA10="", 0, IF(J10&gt;AA10, (J10-AA10)*6000000, 0))</f>
        <v/>
      </c>
      <c r="AF10" s="14">
        <f>AD10 + AE10</f>
        <v/>
      </c>
      <c r="AG10" s="14">
        <f>ABS(U10 - J10)</f>
        <v/>
      </c>
      <c r="AH10" s="14">
        <f>IF(U10&gt;J10, (U10-J10)*2700000, 0)</f>
        <v/>
      </c>
      <c r="AI10" s="14">
        <f>IF(J10&gt;U10, (J10-U10)*6000000, 0)</f>
        <v/>
      </c>
      <c r="AJ10" s="14">
        <f>AH10 + AI10 + S10</f>
        <v/>
      </c>
    </row>
    <row r="11">
      <c r="A11" s="13" t="inlineStr">
        <is>
          <t>Ngày 09 (09/05)</t>
        </is>
      </c>
      <c r="B11" s="14" t="n">
        <v>28</v>
      </c>
      <c r="C11" s="14" t="n">
        <v>0</v>
      </c>
      <c r="D11" s="14" t="n">
        <v>0.21</v>
      </c>
      <c r="E11" s="14" t="n">
        <v>71.59999999999999</v>
      </c>
      <c r="F11" s="14" t="n">
        <v>0</v>
      </c>
      <c r="G11" s="14" t="n">
        <v>57.6</v>
      </c>
      <c r="H11" s="14">
        <f>G11*IF(F11=1, 0.85, 0.8)</f>
        <v/>
      </c>
      <c r="I11" s="13" t="inlineStr">
        <is>
          <t>2-4</t>
        </is>
      </c>
      <c r="J11" s="14">
        <f>ROUNDUP(H11/17.2, 0)</f>
        <v/>
      </c>
      <c r="K11" s="14">
        <f>ROUND(TREND(G$3:G$94, E$3:E$94, E11), 1)</f>
        <v/>
      </c>
      <c r="L11" s="14">
        <f>ROUND(TREND(G$3:G$94, B$3:E$94, B11:E11), 1)</f>
        <v/>
      </c>
      <c r="M11" s="14">
        <f>ROUND(TREND(G$3:G$94, B$3:F$94, B11:F11), 1)</f>
        <v/>
      </c>
      <c r="N11" s="14">
        <f>ROUNDUP(M11*IF(F11=1, 0.85, 0.8)/17.2, 0)</f>
        <v/>
      </c>
      <c r="O11" s="14">
        <f>ROUND(N11*70%, 0)</f>
        <v/>
      </c>
      <c r="P11" s="14">
        <f>MIN(ROUNDUP(N11*0.2, 0), MAX(0, N11 - O11))</f>
        <v/>
      </c>
      <c r="Q11" s="13">
        <f>IF(C11&gt;20, "Hủy slot (Mưa &gt; 20mm)", "Kích hoạt")</f>
        <v/>
      </c>
      <c r="R11" s="14">
        <f>IF(C11&gt;20, 0, P11)</f>
        <v/>
      </c>
      <c r="S11" s="14">
        <f>IF(C11&gt;20, P11*0.4*Y11, 0)</f>
        <v/>
      </c>
      <c r="T11" s="14">
        <f>MAX(0, J11 - O11 - R11)</f>
        <v/>
      </c>
      <c r="U11" s="14">
        <f>O11 + R11 + T11</f>
        <v/>
      </c>
      <c r="V11" s="14" t="n">
        <v>8</v>
      </c>
      <c r="W11" s="13" t="inlineStr">
        <is>
          <t>2-4</t>
        </is>
      </c>
      <c r="X11" s="14" t="n">
        <v>1</v>
      </c>
      <c r="Y11" s="14">
        <f>IF(OR(B11&gt;=34, F11=1), 11700000, 9000000)</f>
        <v/>
      </c>
      <c r="Z11" s="14" t="n">
        <v>0.02</v>
      </c>
      <c r="AA11" s="14">
        <f>AVERAGE(J8:J10)</f>
        <v/>
      </c>
      <c r="AB11" s="14">
        <f>ABS(J11 - AA11)</f>
        <v/>
      </c>
      <c r="AC11" s="13" t="inlineStr">
        <is>
          <t>Hợp lệ</t>
        </is>
      </c>
      <c r="AD11" s="14">
        <f>IF(AA11="", 0, IF(AA11&gt;J11, (AA11-J11)*2700000, 0))</f>
        <v/>
      </c>
      <c r="AE11" s="14">
        <f>IF(AA11="", 0, IF(J11&gt;AA11, (J11-AA11)*6000000, 0))</f>
        <v/>
      </c>
      <c r="AF11" s="14">
        <f>AD11 + AE11</f>
        <v/>
      </c>
      <c r="AG11" s="14">
        <f>ABS(U11 - J11)</f>
        <v/>
      </c>
      <c r="AH11" s="14">
        <f>IF(U11&gt;J11, (U11-J11)*2700000, 0)</f>
        <v/>
      </c>
      <c r="AI11" s="14">
        <f>IF(J11&gt;U11, (J11-U11)*6000000, 0)</f>
        <v/>
      </c>
      <c r="AJ11" s="14">
        <f>AH11 + AI11 + S11</f>
        <v/>
      </c>
    </row>
    <row r="12">
      <c r="A12" s="13" t="inlineStr">
        <is>
          <t>Ngày 10 (10/05)</t>
        </is>
      </c>
      <c r="B12" s="14" t="n">
        <v>26.9</v>
      </c>
      <c r="C12" s="14" t="n">
        <v>30</v>
      </c>
      <c r="D12" s="14" t="n">
        <v>0.22</v>
      </c>
      <c r="E12" s="14" t="n">
        <v>71.09999999999999</v>
      </c>
      <c r="F12" s="14" t="n">
        <v>0</v>
      </c>
      <c r="G12" s="14" t="n">
        <v>26.5</v>
      </c>
      <c r="H12" s="14">
        <f>G12*IF(F12=1, 0.85, 0.8)</f>
        <v/>
      </c>
      <c r="I12" s="13" t="inlineStr">
        <is>
          <t>2-4</t>
        </is>
      </c>
      <c r="J12" s="14">
        <f>ROUNDUP(H12/17.2, 0)</f>
        <v/>
      </c>
      <c r="K12" s="14">
        <f>ROUND(TREND(G$3:G$94, E$3:E$94, E12), 1)</f>
        <v/>
      </c>
      <c r="L12" s="14">
        <f>ROUND(TREND(G$3:G$94, B$3:E$94, B12:E12), 1)</f>
        <v/>
      </c>
      <c r="M12" s="14">
        <f>ROUND(TREND(G$3:G$94, B$3:F$94, B12:F12), 1)</f>
        <v/>
      </c>
      <c r="N12" s="14">
        <f>ROUNDUP(M12*IF(F12=1, 0.85, 0.8)/17.2, 0)</f>
        <v/>
      </c>
      <c r="O12" s="14">
        <f>ROUND(N12*70%, 0)</f>
        <v/>
      </c>
      <c r="P12" s="14">
        <f>MIN(ROUNDUP(N12*0.2, 0), MAX(0, N12 - O12))</f>
        <v/>
      </c>
      <c r="Q12" s="13">
        <f>IF(C12&gt;20, "Hủy slot (Mưa &gt; 20mm)", "Kích hoạt")</f>
        <v/>
      </c>
      <c r="R12" s="14">
        <f>IF(C12&gt;20, 0, P12)</f>
        <v/>
      </c>
      <c r="S12" s="14">
        <f>IF(C12&gt;20, P12*0.4*Y12, 0)</f>
        <v/>
      </c>
      <c r="T12" s="14">
        <f>MAX(0, J12 - O12 - R12)</f>
        <v/>
      </c>
      <c r="U12" s="14">
        <f>O12 + R12 + T12</f>
        <v/>
      </c>
      <c r="V12" s="14" t="n">
        <v>6</v>
      </c>
      <c r="W12" s="13" t="inlineStr">
        <is>
          <t>2-4</t>
        </is>
      </c>
      <c r="X12" s="14" t="n">
        <v>2</v>
      </c>
      <c r="Y12" s="14">
        <f>IF(OR(B12&gt;=34, F12=1), 11700000, 9000000)</f>
        <v/>
      </c>
      <c r="Z12" s="14" t="n">
        <v>0.02</v>
      </c>
      <c r="AA12" s="14">
        <f>AVERAGE(J9:J11)</f>
        <v/>
      </c>
      <c r="AB12" s="14">
        <f>ABS(J12 - AA12)</f>
        <v/>
      </c>
      <c r="AC12" s="13" t="inlineStr">
        <is>
          <t>Hợp lệ</t>
        </is>
      </c>
      <c r="AD12" s="14">
        <f>IF(AA12="", 0, IF(AA12&gt;J12, (AA12-J12)*2700000, 0))</f>
        <v/>
      </c>
      <c r="AE12" s="14">
        <f>IF(AA12="", 0, IF(J12&gt;AA12, (J12-AA12)*6000000, 0))</f>
        <v/>
      </c>
      <c r="AF12" s="14">
        <f>AD12 + AE12</f>
        <v/>
      </c>
      <c r="AG12" s="14">
        <f>ABS(U12 - J12)</f>
        <v/>
      </c>
      <c r="AH12" s="14">
        <f>IF(U12&gt;J12, (U12-J12)*2700000, 0)</f>
        <v/>
      </c>
      <c r="AI12" s="14">
        <f>IF(J12&gt;U12, (J12-U12)*6000000, 0)</f>
        <v/>
      </c>
      <c r="AJ12" s="14">
        <f>AH12 + AI12 + S12</f>
        <v/>
      </c>
    </row>
    <row r="13">
      <c r="A13" s="13" t="inlineStr">
        <is>
          <t>Ngày 11 (11/05)</t>
        </is>
      </c>
      <c r="B13" s="14" t="n">
        <v>29.7</v>
      </c>
      <c r="C13" s="14" t="n">
        <v>0</v>
      </c>
      <c r="D13" s="14" t="n">
        <v>0.23</v>
      </c>
      <c r="E13" s="14" t="n">
        <v>91.2</v>
      </c>
      <c r="F13" s="14" t="n">
        <v>0</v>
      </c>
      <c r="G13" s="14" t="n">
        <v>93.90000000000001</v>
      </c>
      <c r="H13" s="14">
        <f>G13*IF(F13=1, 0.85, 0.8)</f>
        <v/>
      </c>
      <c r="I13" s="13" t="inlineStr">
        <is>
          <t>2-4</t>
        </is>
      </c>
      <c r="J13" s="14">
        <f>ROUNDUP(H13/17.2, 0)</f>
        <v/>
      </c>
      <c r="K13" s="14">
        <f>ROUND(TREND(G$3:G$94, E$3:E$94, E13), 1)</f>
        <v/>
      </c>
      <c r="L13" s="14">
        <f>ROUND(TREND(G$3:G$94, B$3:E$94, B13:E13), 1)</f>
        <v/>
      </c>
      <c r="M13" s="14">
        <f>ROUND(TREND(G$3:G$94, B$3:F$94, B13:F13), 1)</f>
        <v/>
      </c>
      <c r="N13" s="14">
        <f>ROUNDUP(M13*IF(F13=1, 0.85, 0.8)/17.2, 0)</f>
        <v/>
      </c>
      <c r="O13" s="14">
        <f>ROUND(N13*70%, 0)</f>
        <v/>
      </c>
      <c r="P13" s="14">
        <f>MIN(ROUNDUP(N13*0.2, 0), MAX(0, N13 - O13))</f>
        <v/>
      </c>
      <c r="Q13" s="13">
        <f>IF(C13&gt;20, "Hủy slot (Mưa &gt; 20mm)", "Kích hoạt")</f>
        <v/>
      </c>
      <c r="R13" s="14">
        <f>IF(C13&gt;20, 0, P13)</f>
        <v/>
      </c>
      <c r="S13" s="14">
        <f>IF(C13&gt;20, P13*0.4*Y13, 0)</f>
        <v/>
      </c>
      <c r="T13" s="14">
        <f>MAX(0, J13 - O13 - R13)</f>
        <v/>
      </c>
      <c r="U13" s="14">
        <f>O13 + R13 + T13</f>
        <v/>
      </c>
      <c r="V13" s="14" t="n">
        <v>9</v>
      </c>
      <c r="W13" s="13" t="inlineStr">
        <is>
          <t>2-4</t>
        </is>
      </c>
      <c r="X13" s="14" t="n">
        <v>2</v>
      </c>
      <c r="Y13" s="14">
        <f>IF(OR(B13&gt;=34, F13=1), 11700000, 9000000)</f>
        <v/>
      </c>
      <c r="Z13" s="14" t="n">
        <v>0.02</v>
      </c>
      <c r="AA13" s="14">
        <f>AVERAGE(J10:J12)</f>
        <v/>
      </c>
      <c r="AB13" s="14">
        <f>ABS(J13 - AA13)</f>
        <v/>
      </c>
      <c r="AC13" s="13" t="inlineStr">
        <is>
          <t>Hợp lệ</t>
        </is>
      </c>
      <c r="AD13" s="14">
        <f>IF(AA13="", 0, IF(AA13&gt;J13, (AA13-J13)*2700000, 0))</f>
        <v/>
      </c>
      <c r="AE13" s="14">
        <f>IF(AA13="", 0, IF(J13&gt;AA13, (J13-AA13)*6000000, 0))</f>
        <v/>
      </c>
      <c r="AF13" s="14">
        <f>AD13 + AE13</f>
        <v/>
      </c>
      <c r="AG13" s="14">
        <f>ABS(U13 - J13)</f>
        <v/>
      </c>
      <c r="AH13" s="14">
        <f>IF(U13&gt;J13, (U13-J13)*2700000, 0)</f>
        <v/>
      </c>
      <c r="AI13" s="14">
        <f>IF(J13&gt;U13, (J13-U13)*6000000, 0)</f>
        <v/>
      </c>
      <c r="AJ13" s="14">
        <f>AH13 + AI13 + S13</f>
        <v/>
      </c>
    </row>
    <row r="14">
      <c r="A14" s="13" t="inlineStr">
        <is>
          <t>Ngày 12 (12/05)</t>
        </is>
      </c>
      <c r="B14" s="14" t="n">
        <v>28</v>
      </c>
      <c r="C14" s="14" t="n">
        <v>0</v>
      </c>
      <c r="D14" s="14" t="n">
        <v>0.25</v>
      </c>
      <c r="E14" s="14" t="n">
        <v>90.5</v>
      </c>
      <c r="F14" s="14" t="n">
        <v>0</v>
      </c>
      <c r="G14" s="14" t="n">
        <v>97.90000000000001</v>
      </c>
      <c r="H14" s="14">
        <f>G14*IF(F14=1, 0.85, 0.8)</f>
        <v/>
      </c>
      <c r="I14" s="13" t="inlineStr">
        <is>
          <t>2-4</t>
        </is>
      </c>
      <c r="J14" s="14">
        <f>ROUNDUP(H14/17.2, 0)</f>
        <v/>
      </c>
      <c r="K14" s="14">
        <f>ROUND(TREND(G$3:G$94, E$3:E$94, E14), 1)</f>
        <v/>
      </c>
      <c r="L14" s="14">
        <f>ROUND(TREND(G$3:G$94, B$3:E$94, B14:E14), 1)</f>
        <v/>
      </c>
      <c r="M14" s="14">
        <f>ROUND(TREND(G$3:G$94, B$3:F$94, B14:F14), 1)</f>
        <v/>
      </c>
      <c r="N14" s="14">
        <f>ROUNDUP(M14*IF(F14=1, 0.85, 0.8)/17.2, 0)</f>
        <v/>
      </c>
      <c r="O14" s="14">
        <f>ROUND(N14*70%, 0)</f>
        <v/>
      </c>
      <c r="P14" s="14">
        <f>MIN(ROUNDUP(N14*0.2, 0), MAX(0, N14 - O14))</f>
        <v/>
      </c>
      <c r="Q14" s="13">
        <f>IF(C14&gt;20, "Hủy slot (Mưa &gt; 20mm)", "Kích hoạt")</f>
        <v/>
      </c>
      <c r="R14" s="14">
        <f>IF(C14&gt;20, 0, P14)</f>
        <v/>
      </c>
      <c r="S14" s="14">
        <f>IF(C14&gt;20, P14*0.4*Y14, 0)</f>
        <v/>
      </c>
      <c r="T14" s="14">
        <f>MAX(0, J14 - O14 - R14)</f>
        <v/>
      </c>
      <c r="U14" s="14">
        <f>O14 + R14 + T14</f>
        <v/>
      </c>
      <c r="V14" s="14" t="n">
        <v>7</v>
      </c>
      <c r="W14" s="13" t="inlineStr">
        <is>
          <t>2-4</t>
        </is>
      </c>
      <c r="X14" s="14" t="n">
        <v>1</v>
      </c>
      <c r="Y14" s="14">
        <f>IF(OR(B14&gt;=34, F14=1), 11700000, 9000000)</f>
        <v/>
      </c>
      <c r="Z14" s="14" t="n">
        <v>0.02</v>
      </c>
      <c r="AA14" s="14">
        <f>AVERAGE(J11:J13)</f>
        <v/>
      </c>
      <c r="AB14" s="14">
        <f>ABS(J14 - AA14)</f>
        <v/>
      </c>
      <c r="AC14" s="13" t="inlineStr">
        <is>
          <t>Hợp lệ</t>
        </is>
      </c>
      <c r="AD14" s="14">
        <f>IF(AA14="", 0, IF(AA14&gt;J14, (AA14-J14)*2700000, 0))</f>
        <v/>
      </c>
      <c r="AE14" s="14">
        <f>IF(AA14="", 0, IF(J14&gt;AA14, (J14-AA14)*6000000, 0))</f>
        <v/>
      </c>
      <c r="AF14" s="14">
        <f>AD14 + AE14</f>
        <v/>
      </c>
      <c r="AG14" s="14">
        <f>ABS(U14 - J14)</f>
        <v/>
      </c>
      <c r="AH14" s="14">
        <f>IF(U14&gt;J14, (U14-J14)*2700000, 0)</f>
        <v/>
      </c>
      <c r="AI14" s="14">
        <f>IF(J14&gt;U14, (J14-U14)*6000000, 0)</f>
        <v/>
      </c>
      <c r="AJ14" s="14">
        <f>AH14 + AI14 + S14</f>
        <v/>
      </c>
    </row>
    <row r="15">
      <c r="A15" s="13" t="inlineStr">
        <is>
          <t>Ngày 13 (13/05)</t>
        </is>
      </c>
      <c r="B15" s="14" t="n">
        <v>30.1</v>
      </c>
      <c r="C15" s="14" t="n">
        <v>0</v>
      </c>
      <c r="D15" s="14" t="n">
        <v>0.26</v>
      </c>
      <c r="E15" s="14" t="n">
        <v>100.1</v>
      </c>
      <c r="F15" s="14" t="n">
        <v>0</v>
      </c>
      <c r="G15" s="14" t="n">
        <v>110.2</v>
      </c>
      <c r="H15" s="14">
        <f>G15*IF(F15=1, 0.85, 0.8)</f>
        <v/>
      </c>
      <c r="I15" s="13" t="inlineStr">
        <is>
          <t>2-4</t>
        </is>
      </c>
      <c r="J15" s="14">
        <f>ROUNDUP(H15/17.2, 0)</f>
        <v/>
      </c>
      <c r="K15" s="14">
        <f>ROUND(TREND(G$3:G$94, E$3:E$94, E15), 1)</f>
        <v/>
      </c>
      <c r="L15" s="14">
        <f>ROUND(TREND(G$3:G$94, B$3:E$94, B15:E15), 1)</f>
        <v/>
      </c>
      <c r="M15" s="14">
        <f>ROUND(TREND(G$3:G$94, B$3:F$94, B15:F15), 1)</f>
        <v/>
      </c>
      <c r="N15" s="14">
        <f>ROUNDUP(M15*IF(F15=1, 0.85, 0.8)/17.2, 0)</f>
        <v/>
      </c>
      <c r="O15" s="14">
        <f>ROUND(N15*70%, 0)</f>
        <v/>
      </c>
      <c r="P15" s="14">
        <f>MIN(ROUNDUP(N15*0.2, 0), MAX(0, N15 - O15))</f>
        <v/>
      </c>
      <c r="Q15" s="13">
        <f>IF(C15&gt;20, "Hủy slot (Mưa &gt; 20mm)", "Kích hoạt")</f>
        <v/>
      </c>
      <c r="R15" s="14">
        <f>IF(C15&gt;20, 0, P15)</f>
        <v/>
      </c>
      <c r="S15" s="14">
        <f>IF(C15&gt;20, P15*0.4*Y15, 0)</f>
        <v/>
      </c>
      <c r="T15" s="14">
        <f>MAX(0, J15 - O15 - R15)</f>
        <v/>
      </c>
      <c r="U15" s="14">
        <f>O15 + R15 + T15</f>
        <v/>
      </c>
      <c r="V15" s="14" t="n">
        <v>8</v>
      </c>
      <c r="W15" s="13" t="inlineStr">
        <is>
          <t>2-4</t>
        </is>
      </c>
      <c r="X15" s="14" t="n">
        <v>2</v>
      </c>
      <c r="Y15" s="14">
        <f>IF(OR(B15&gt;=34, F15=1), 11700000, 9000000)</f>
        <v/>
      </c>
      <c r="Z15" s="14" t="n">
        <v>0.02</v>
      </c>
      <c r="AA15" s="14">
        <f>AVERAGE(J12:J14)</f>
        <v/>
      </c>
      <c r="AB15" s="14">
        <f>ABS(J15 - AA15)</f>
        <v/>
      </c>
      <c r="AC15" s="13" t="inlineStr">
        <is>
          <t>Hợp lệ</t>
        </is>
      </c>
      <c r="AD15" s="14">
        <f>IF(AA15="", 0, IF(AA15&gt;J15, (AA15-J15)*2700000, 0))</f>
        <v/>
      </c>
      <c r="AE15" s="14">
        <f>IF(AA15="", 0, IF(J15&gt;AA15, (J15-AA15)*6000000, 0))</f>
        <v/>
      </c>
      <c r="AF15" s="14">
        <f>AD15 + AE15</f>
        <v/>
      </c>
      <c r="AG15" s="14">
        <f>ABS(U15 - J15)</f>
        <v/>
      </c>
      <c r="AH15" s="14">
        <f>IF(U15&gt;J15, (U15-J15)*2700000, 0)</f>
        <v/>
      </c>
      <c r="AI15" s="14">
        <f>IF(J15&gt;U15, (J15-U15)*6000000, 0)</f>
        <v/>
      </c>
      <c r="AJ15" s="14">
        <f>AH15 + AI15 + S15</f>
        <v/>
      </c>
    </row>
    <row r="16">
      <c r="A16" s="13" t="inlineStr">
        <is>
          <t>Ngày 14 (14/05)</t>
        </is>
      </c>
      <c r="B16" s="14" t="n">
        <v>29.5</v>
      </c>
      <c r="C16" s="14" t="n">
        <v>0</v>
      </c>
      <c r="D16" s="14" t="n">
        <v>0.27</v>
      </c>
      <c r="E16" s="14" t="n">
        <v>162.7</v>
      </c>
      <c r="F16" s="14" t="n">
        <v>1</v>
      </c>
      <c r="G16" s="14" t="n">
        <v>147</v>
      </c>
      <c r="H16" s="14">
        <f>G16*IF(F16=1, 0.85, 0.8)</f>
        <v/>
      </c>
      <c r="I16" s="13" t="inlineStr">
        <is>
          <t>2-4</t>
        </is>
      </c>
      <c r="J16" s="14">
        <f>ROUNDUP(H16/17.2, 0)</f>
        <v/>
      </c>
      <c r="K16" s="14">
        <f>ROUND(TREND(G$3:G$94, E$3:E$94, E16), 1)</f>
        <v/>
      </c>
      <c r="L16" s="14">
        <f>ROUND(TREND(G$3:G$94, B$3:E$94, B16:E16), 1)</f>
        <v/>
      </c>
      <c r="M16" s="14">
        <f>ROUND(TREND(G$3:G$94, B$3:F$94, B16:F16), 1)</f>
        <v/>
      </c>
      <c r="N16" s="14">
        <f>ROUNDUP(M16*IF(F16=1, 0.85, 0.8)/17.2, 0)</f>
        <v/>
      </c>
      <c r="O16" s="14">
        <f>ROUND(N16*70%, 0)</f>
        <v/>
      </c>
      <c r="P16" s="14">
        <f>MIN(ROUNDUP(N16*0.2, 0), MAX(0, N16 - O16))</f>
        <v/>
      </c>
      <c r="Q16" s="13">
        <f>IF(C16&gt;20, "Hủy slot (Mưa &gt; 20mm)", "Kích hoạt")</f>
        <v/>
      </c>
      <c r="R16" s="14">
        <f>IF(C16&gt;20, 0, P16)</f>
        <v/>
      </c>
      <c r="S16" s="14">
        <f>IF(C16&gt;20, P16*0.4*Y16, 0)</f>
        <v/>
      </c>
      <c r="T16" s="14">
        <f>MAX(0, J16 - O16 - R16)</f>
        <v/>
      </c>
      <c r="U16" s="14">
        <f>O16 + R16 + T16</f>
        <v/>
      </c>
      <c r="V16" s="14" t="n">
        <v>11</v>
      </c>
      <c r="W16" s="13" t="inlineStr">
        <is>
          <t>2-4</t>
        </is>
      </c>
      <c r="X16" s="14" t="n">
        <v>2</v>
      </c>
      <c r="Y16" s="14">
        <f>IF(OR(B16&gt;=34, F16=1), 11700000, 9000000)</f>
        <v/>
      </c>
      <c r="Z16" s="14" t="n">
        <v>0.02</v>
      </c>
      <c r="AA16" s="14">
        <f>AVERAGE(J13:J15)</f>
        <v/>
      </c>
      <c r="AB16" s="14">
        <f>ABS(J16 - AA16)</f>
        <v/>
      </c>
      <c r="AC16" s="13" t="inlineStr">
        <is>
          <t>Hợp lệ</t>
        </is>
      </c>
      <c r="AD16" s="14">
        <f>IF(AA16="", 0, IF(AA16&gt;J16, (AA16-J16)*2700000, 0))</f>
        <v/>
      </c>
      <c r="AE16" s="14">
        <f>IF(AA16="", 0, IF(J16&gt;AA16, (J16-AA16)*6000000, 0))</f>
        <v/>
      </c>
      <c r="AF16" s="14">
        <f>AD16 + AE16</f>
        <v/>
      </c>
      <c r="AG16" s="14">
        <f>ABS(U16 - J16)</f>
        <v/>
      </c>
      <c r="AH16" s="14">
        <f>IF(U16&gt;J16, (U16-J16)*2700000, 0)</f>
        <v/>
      </c>
      <c r="AI16" s="14">
        <f>IF(J16&gt;U16, (J16-U16)*6000000, 0)</f>
        <v/>
      </c>
      <c r="AJ16" s="14">
        <f>AH16 + AI16 + S16</f>
        <v/>
      </c>
    </row>
    <row r="17">
      <c r="A17" s="13" t="inlineStr">
        <is>
          <t>Ngày 15 (15/05)</t>
        </is>
      </c>
      <c r="B17" s="14" t="n">
        <v>28.6</v>
      </c>
      <c r="C17" s="14" t="n">
        <v>0</v>
      </c>
      <c r="D17" s="14" t="n">
        <v>0.28</v>
      </c>
      <c r="E17" s="14" t="n">
        <v>159.7</v>
      </c>
      <c r="F17" s="14" t="n">
        <v>1</v>
      </c>
      <c r="G17" s="14" t="n">
        <v>173.4</v>
      </c>
      <c r="H17" s="14">
        <f>G17*IF(F17=1, 0.85, 0.8)</f>
        <v/>
      </c>
      <c r="I17" s="13" t="inlineStr">
        <is>
          <t>2-4</t>
        </is>
      </c>
      <c r="J17" s="14">
        <f>ROUNDUP(H17/17.2, 0)</f>
        <v/>
      </c>
      <c r="K17" s="14">
        <f>ROUND(TREND(G$3:G$94, E$3:E$94, E17), 1)</f>
        <v/>
      </c>
      <c r="L17" s="14">
        <f>ROUND(TREND(G$3:G$94, B$3:E$94, B17:E17), 1)</f>
        <v/>
      </c>
      <c r="M17" s="14">
        <f>ROUND(TREND(G$3:G$94, B$3:F$94, B17:F17), 1)</f>
        <v/>
      </c>
      <c r="N17" s="14">
        <f>ROUNDUP(M17*IF(F17=1, 0.85, 0.8)/17.2, 0)</f>
        <v/>
      </c>
      <c r="O17" s="14">
        <f>ROUND(N17*70%, 0)</f>
        <v/>
      </c>
      <c r="P17" s="14">
        <f>MIN(ROUNDUP(N17*0.2, 0), MAX(0, N17 - O17))</f>
        <v/>
      </c>
      <c r="Q17" s="13">
        <f>IF(C17&gt;20, "Hủy slot (Mưa &gt; 20mm)", "Kích hoạt")</f>
        <v/>
      </c>
      <c r="R17" s="14">
        <f>IF(C17&gt;20, 0, P17)</f>
        <v/>
      </c>
      <c r="S17" s="14">
        <f>IF(C17&gt;20, P17*0.4*Y17, 0)</f>
        <v/>
      </c>
      <c r="T17" s="14">
        <f>MAX(0, J17 - O17 - R17)</f>
        <v/>
      </c>
      <c r="U17" s="14">
        <f>O17 + R17 + T17</f>
        <v/>
      </c>
      <c r="V17" s="14" t="n">
        <v>14</v>
      </c>
      <c r="W17" s="13" t="inlineStr">
        <is>
          <t>2-4</t>
        </is>
      </c>
      <c r="X17" s="14" t="n">
        <v>1</v>
      </c>
      <c r="Y17" s="14">
        <f>IF(OR(B17&gt;=34, F17=1), 11700000, 9000000)</f>
        <v/>
      </c>
      <c r="Z17" s="14" t="n">
        <v>0.02</v>
      </c>
      <c r="AA17" s="14">
        <f>AVERAGE(J14:J16)</f>
        <v/>
      </c>
      <c r="AB17" s="14">
        <f>ABS(J17 - AA17)</f>
        <v/>
      </c>
      <c r="AC17" s="13" t="inlineStr">
        <is>
          <t>Hợp lệ</t>
        </is>
      </c>
      <c r="AD17" s="14">
        <f>IF(AA17="", 0, IF(AA17&gt;J17, (AA17-J17)*2700000, 0))</f>
        <v/>
      </c>
      <c r="AE17" s="14">
        <f>IF(AA17="", 0, IF(J17&gt;AA17, (J17-AA17)*6000000, 0))</f>
        <v/>
      </c>
      <c r="AF17" s="14">
        <f>AD17 + AE17</f>
        <v/>
      </c>
      <c r="AG17" s="14">
        <f>ABS(U17 - J17)</f>
        <v/>
      </c>
      <c r="AH17" s="14">
        <f>IF(U17&gt;J17, (U17-J17)*2700000, 0)</f>
        <v/>
      </c>
      <c r="AI17" s="14">
        <f>IF(J17&gt;U17, (J17-U17)*6000000, 0)</f>
        <v/>
      </c>
      <c r="AJ17" s="14">
        <f>AH17 + AI17 + S17</f>
        <v/>
      </c>
    </row>
    <row r="18">
      <c r="A18" s="13" t="inlineStr">
        <is>
          <t>Ngày 16 (16/05)</t>
        </is>
      </c>
      <c r="B18" s="14" t="n">
        <v>27.7</v>
      </c>
      <c r="C18" s="14" t="n">
        <v>0</v>
      </c>
      <c r="D18" s="14" t="n">
        <v>0.3</v>
      </c>
      <c r="E18" s="14" t="n">
        <v>125.7</v>
      </c>
      <c r="F18" s="14" t="n">
        <v>0</v>
      </c>
      <c r="G18" s="14" t="n">
        <v>124.7</v>
      </c>
      <c r="H18" s="14">
        <f>G18*IF(F18=1, 0.85, 0.8)</f>
        <v/>
      </c>
      <c r="I18" s="13" t="inlineStr">
        <is>
          <t>2-4</t>
        </is>
      </c>
      <c r="J18" s="14">
        <f>ROUNDUP(H18/17.2, 0)</f>
        <v/>
      </c>
      <c r="K18" s="14">
        <f>ROUND(TREND(G$3:G$94, E$3:E$94, E18), 1)</f>
        <v/>
      </c>
      <c r="L18" s="14">
        <f>ROUND(TREND(G$3:G$94, B$3:E$94, B18:E18), 1)</f>
        <v/>
      </c>
      <c r="M18" s="14">
        <f>ROUND(TREND(G$3:G$94, B$3:F$94, B18:F18), 1)</f>
        <v/>
      </c>
      <c r="N18" s="14">
        <f>ROUNDUP(M18*IF(F18=1, 0.85, 0.8)/17.2, 0)</f>
        <v/>
      </c>
      <c r="O18" s="14">
        <f>ROUND(N18*70%, 0)</f>
        <v/>
      </c>
      <c r="P18" s="14">
        <f>MIN(ROUNDUP(N18*0.2, 0), MAX(0, N18 - O18))</f>
        <v/>
      </c>
      <c r="Q18" s="13">
        <f>IF(C18&gt;20, "Hủy slot (Mưa &gt; 20mm)", "Kích hoạt")</f>
        <v/>
      </c>
      <c r="R18" s="14">
        <f>IF(C18&gt;20, 0, P18)</f>
        <v/>
      </c>
      <c r="S18" s="14">
        <f>IF(C18&gt;20, P18*0.4*Y18, 0)</f>
        <v/>
      </c>
      <c r="T18" s="14">
        <f>MAX(0, J18 - O18 - R18)</f>
        <v/>
      </c>
      <c r="U18" s="14">
        <f>O18 + R18 + T18</f>
        <v/>
      </c>
      <c r="V18" s="14" t="n">
        <v>8</v>
      </c>
      <c r="W18" s="13" t="inlineStr">
        <is>
          <t>2-4</t>
        </is>
      </c>
      <c r="X18" s="14" t="n">
        <v>1</v>
      </c>
      <c r="Y18" s="14">
        <f>IF(OR(B18&gt;=34, F18=1), 11700000, 9000000)</f>
        <v/>
      </c>
      <c r="Z18" s="14" t="n">
        <v>0.02</v>
      </c>
      <c r="AA18" s="14">
        <f>AVERAGE(J15:J17)</f>
        <v/>
      </c>
      <c r="AB18" s="14">
        <f>ABS(J18 - AA18)</f>
        <v/>
      </c>
      <c r="AC18" s="13" t="inlineStr">
        <is>
          <t>Hợp lệ</t>
        </is>
      </c>
      <c r="AD18" s="14">
        <f>IF(AA18="", 0, IF(AA18&gt;J18, (AA18-J18)*2700000, 0))</f>
        <v/>
      </c>
      <c r="AE18" s="14">
        <f>IF(AA18="", 0, IF(J18&gt;AA18, (J18-AA18)*6000000, 0))</f>
        <v/>
      </c>
      <c r="AF18" s="14">
        <f>AD18 + AE18</f>
        <v/>
      </c>
      <c r="AG18" s="14">
        <f>ABS(U18 - J18)</f>
        <v/>
      </c>
      <c r="AH18" s="14">
        <f>IF(U18&gt;J18, (U18-J18)*2700000, 0)</f>
        <v/>
      </c>
      <c r="AI18" s="14">
        <f>IF(J18&gt;U18, (J18-U18)*6000000, 0)</f>
        <v/>
      </c>
      <c r="AJ18" s="14">
        <f>AH18 + AI18 + S18</f>
        <v/>
      </c>
    </row>
    <row r="19">
      <c r="A19" s="13" t="inlineStr">
        <is>
          <t>Ngày 17 (17/05)</t>
        </is>
      </c>
      <c r="B19" s="14" t="n">
        <v>26.9</v>
      </c>
      <c r="C19" s="14" t="n">
        <v>0</v>
      </c>
      <c r="D19" s="14" t="n">
        <v>0.31</v>
      </c>
      <c r="E19" s="14" t="n">
        <v>150.1</v>
      </c>
      <c r="F19" s="14" t="n">
        <v>0</v>
      </c>
      <c r="G19" s="14" t="n">
        <v>152.4</v>
      </c>
      <c r="H19" s="14">
        <f>G19*IF(F19=1, 0.85, 0.8)</f>
        <v/>
      </c>
      <c r="I19" s="13" t="inlineStr">
        <is>
          <t>2-4</t>
        </is>
      </c>
      <c r="J19" s="14">
        <f>ROUNDUP(H19/17.2, 0)</f>
        <v/>
      </c>
      <c r="K19" s="14">
        <f>ROUND(TREND(G$3:G$94, E$3:E$94, E19), 1)</f>
        <v/>
      </c>
      <c r="L19" s="14">
        <f>ROUND(TREND(G$3:G$94, B$3:E$94, B19:E19), 1)</f>
        <v/>
      </c>
      <c r="M19" s="14">
        <f>ROUND(TREND(G$3:G$94, B$3:F$94, B19:F19), 1)</f>
        <v/>
      </c>
      <c r="N19" s="14">
        <f>ROUNDUP(M19*IF(F19=1, 0.85, 0.8)/17.2, 0)</f>
        <v/>
      </c>
      <c r="O19" s="14">
        <f>ROUND(N19*70%, 0)</f>
        <v/>
      </c>
      <c r="P19" s="14">
        <f>MIN(ROUNDUP(N19*0.2, 0), MAX(0, N19 - O19))</f>
        <v/>
      </c>
      <c r="Q19" s="13">
        <f>IF(C19&gt;20, "Hủy slot (Mưa &gt; 20mm)", "Kích hoạt")</f>
        <v/>
      </c>
      <c r="R19" s="14">
        <f>IF(C19&gt;20, 0, P19)</f>
        <v/>
      </c>
      <c r="S19" s="14">
        <f>IF(C19&gt;20, P19*0.4*Y19, 0)</f>
        <v/>
      </c>
      <c r="T19" s="14">
        <f>MAX(0, J19 - O19 - R19)</f>
        <v/>
      </c>
      <c r="U19" s="14">
        <f>O19 + R19 + T19</f>
        <v/>
      </c>
      <c r="V19" s="14" t="n">
        <v>12</v>
      </c>
      <c r="W19" s="13" t="inlineStr">
        <is>
          <t>2-4</t>
        </is>
      </c>
      <c r="X19" s="14" t="n">
        <v>1</v>
      </c>
      <c r="Y19" s="14">
        <f>IF(OR(B19&gt;=34, F19=1), 11700000, 9000000)</f>
        <v/>
      </c>
      <c r="Z19" s="14" t="n">
        <v>0.02</v>
      </c>
      <c r="AA19" s="14">
        <f>AVERAGE(J16:J18)</f>
        <v/>
      </c>
      <c r="AB19" s="14">
        <f>ABS(J19 - AA19)</f>
        <v/>
      </c>
      <c r="AC19" s="13" t="inlineStr">
        <is>
          <t>Hợp lệ</t>
        </is>
      </c>
      <c r="AD19" s="14">
        <f>IF(AA19="", 0, IF(AA19&gt;J19, (AA19-J19)*2700000, 0))</f>
        <v/>
      </c>
      <c r="AE19" s="14">
        <f>IF(AA19="", 0, IF(J19&gt;AA19, (J19-AA19)*6000000, 0))</f>
        <v/>
      </c>
      <c r="AF19" s="14">
        <f>AD19 + AE19</f>
        <v/>
      </c>
      <c r="AG19" s="14">
        <f>ABS(U19 - J19)</f>
        <v/>
      </c>
      <c r="AH19" s="14">
        <f>IF(U19&gt;J19, (U19-J19)*2700000, 0)</f>
        <v/>
      </c>
      <c r="AI19" s="14">
        <f>IF(J19&gt;U19, (J19-U19)*6000000, 0)</f>
        <v/>
      </c>
      <c r="AJ19" s="14">
        <f>AH19 + AI19 + S19</f>
        <v/>
      </c>
    </row>
    <row r="20">
      <c r="A20" s="13" t="inlineStr">
        <is>
          <t>Ngày 18 (18/05)</t>
        </is>
      </c>
      <c r="B20" s="14" t="n">
        <v>28.5</v>
      </c>
      <c r="C20" s="14" t="n">
        <v>10</v>
      </c>
      <c r="D20" s="14" t="n">
        <v>0.32</v>
      </c>
      <c r="E20" s="14" t="n">
        <v>158.8</v>
      </c>
      <c r="F20" s="14" t="n">
        <v>0</v>
      </c>
      <c r="G20" s="14" t="n">
        <v>167.6</v>
      </c>
      <c r="H20" s="14">
        <f>G20*IF(F20=1, 0.85, 0.8)</f>
        <v/>
      </c>
      <c r="I20" s="13" t="inlineStr">
        <is>
          <t>2-4</t>
        </is>
      </c>
      <c r="J20" s="14">
        <f>ROUNDUP(H20/17.2, 0)</f>
        <v/>
      </c>
      <c r="K20" s="14">
        <f>ROUND(TREND(G$3:G$94, E$3:E$94, E20), 1)</f>
        <v/>
      </c>
      <c r="L20" s="14">
        <f>ROUND(TREND(G$3:G$94, B$3:E$94, B20:E20), 1)</f>
        <v/>
      </c>
      <c r="M20" s="14">
        <f>ROUND(TREND(G$3:G$94, B$3:F$94, B20:F20), 1)</f>
        <v/>
      </c>
      <c r="N20" s="14">
        <f>ROUNDUP(M20*IF(F20=1, 0.85, 0.8)/17.2, 0)</f>
        <v/>
      </c>
      <c r="O20" s="14">
        <f>ROUND(N20*70%, 0)</f>
        <v/>
      </c>
      <c r="P20" s="14">
        <f>MIN(ROUNDUP(N20*0.2, 0), MAX(0, N20 - O20))</f>
        <v/>
      </c>
      <c r="Q20" s="13">
        <f>IF(C20&gt;20, "Hủy slot (Mưa &gt; 20mm)", "Kích hoạt")</f>
        <v/>
      </c>
      <c r="R20" s="14">
        <f>IF(C20&gt;20, 0, P20)</f>
        <v/>
      </c>
      <c r="S20" s="14">
        <f>IF(C20&gt;20, P20*0.4*Y20, 0)</f>
        <v/>
      </c>
      <c r="T20" s="14">
        <f>MAX(0, J20 - O20 - R20)</f>
        <v/>
      </c>
      <c r="U20" s="14">
        <f>O20 + R20 + T20</f>
        <v/>
      </c>
      <c r="V20" s="14" t="n">
        <v>10</v>
      </c>
      <c r="W20" s="13" t="inlineStr">
        <is>
          <t>2-4</t>
        </is>
      </c>
      <c r="X20" s="14" t="n">
        <v>1</v>
      </c>
      <c r="Y20" s="14">
        <f>IF(OR(B20&gt;=34, F20=1), 11700000, 9000000)</f>
        <v/>
      </c>
      <c r="Z20" s="14" t="n">
        <v>0.02</v>
      </c>
      <c r="AA20" s="14">
        <f>AVERAGE(J17:J19)</f>
        <v/>
      </c>
      <c r="AB20" s="14">
        <f>ABS(J20 - AA20)</f>
        <v/>
      </c>
      <c r="AC20" s="13" t="inlineStr">
        <is>
          <t>Hợp lệ</t>
        </is>
      </c>
      <c r="AD20" s="14">
        <f>IF(AA20="", 0, IF(AA20&gt;J20, (AA20-J20)*2700000, 0))</f>
        <v/>
      </c>
      <c r="AE20" s="14">
        <f>IF(AA20="", 0, IF(J20&gt;AA20, (J20-AA20)*6000000, 0))</f>
        <v/>
      </c>
      <c r="AF20" s="14">
        <f>AD20 + AE20</f>
        <v/>
      </c>
      <c r="AG20" s="14">
        <f>ABS(U20 - J20)</f>
        <v/>
      </c>
      <c r="AH20" s="14">
        <f>IF(U20&gt;J20, (U20-J20)*2700000, 0)</f>
        <v/>
      </c>
      <c r="AI20" s="14">
        <f>IF(J20&gt;U20, (J20-U20)*6000000, 0)</f>
        <v/>
      </c>
      <c r="AJ20" s="14">
        <f>AH20 + AI20 + S20</f>
        <v/>
      </c>
    </row>
    <row r="21">
      <c r="A21" s="13" t="inlineStr">
        <is>
          <t>Ngày 19 (19/05)</t>
        </is>
      </c>
      <c r="B21" s="14" t="n">
        <v>30</v>
      </c>
      <c r="C21" s="14" t="n">
        <v>0</v>
      </c>
      <c r="D21" s="14" t="n">
        <v>0.33</v>
      </c>
      <c r="E21" s="14" t="n">
        <v>154.4</v>
      </c>
      <c r="F21" s="14" t="n">
        <v>0</v>
      </c>
      <c r="G21" s="14" t="n">
        <v>175.2</v>
      </c>
      <c r="H21" s="14">
        <f>G21*IF(F21=1, 0.85, 0.8)</f>
        <v/>
      </c>
      <c r="I21" s="13" t="inlineStr">
        <is>
          <t>2-4</t>
        </is>
      </c>
      <c r="J21" s="14">
        <f>ROUNDUP(H21/17.2, 0)</f>
        <v/>
      </c>
      <c r="K21" s="14">
        <f>ROUND(TREND(G$3:G$94, E$3:E$94, E21), 1)</f>
        <v/>
      </c>
      <c r="L21" s="14">
        <f>ROUND(TREND(G$3:G$94, B$3:E$94, B21:E21), 1)</f>
        <v/>
      </c>
      <c r="M21" s="14">
        <f>ROUND(TREND(G$3:G$94, B$3:F$94, B21:F21), 1)</f>
        <v/>
      </c>
      <c r="N21" s="14">
        <f>ROUNDUP(M21*IF(F21=1, 0.85, 0.8)/17.2, 0)</f>
        <v/>
      </c>
      <c r="O21" s="14">
        <f>ROUND(N21*70%, 0)</f>
        <v/>
      </c>
      <c r="P21" s="14">
        <f>MIN(ROUNDUP(N21*0.2, 0), MAX(0, N21 - O21))</f>
        <v/>
      </c>
      <c r="Q21" s="13">
        <f>IF(C21&gt;20, "Hủy slot (Mưa &gt; 20mm)", "Kích hoạt")</f>
        <v/>
      </c>
      <c r="R21" s="14">
        <f>IF(C21&gt;20, 0, P21)</f>
        <v/>
      </c>
      <c r="S21" s="14">
        <f>IF(C21&gt;20, P21*0.4*Y21, 0)</f>
        <v/>
      </c>
      <c r="T21" s="14">
        <f>MAX(0, J21 - O21 - R21)</f>
        <v/>
      </c>
      <c r="U21" s="14">
        <f>O21 + R21 + T21</f>
        <v/>
      </c>
      <c r="V21" s="14" t="n">
        <v>13</v>
      </c>
      <c r="W21" s="13" t="inlineStr">
        <is>
          <t>2-4</t>
        </is>
      </c>
      <c r="X21" s="14" t="n">
        <v>3</v>
      </c>
      <c r="Y21" s="14">
        <f>IF(OR(B21&gt;=34, F21=1), 11700000, 9000000)</f>
        <v/>
      </c>
      <c r="Z21" s="14" t="n">
        <v>0.02</v>
      </c>
      <c r="AA21" s="14">
        <f>AVERAGE(J18:J20)</f>
        <v/>
      </c>
      <c r="AB21" s="14">
        <f>ABS(J21 - AA21)</f>
        <v/>
      </c>
      <c r="AC21" s="13" t="inlineStr">
        <is>
          <t>Hợp lệ</t>
        </is>
      </c>
      <c r="AD21" s="14">
        <f>IF(AA21="", 0, IF(AA21&gt;J21, (AA21-J21)*2700000, 0))</f>
        <v/>
      </c>
      <c r="AE21" s="14">
        <f>IF(AA21="", 0, IF(J21&gt;AA21, (J21-AA21)*6000000, 0))</f>
        <v/>
      </c>
      <c r="AF21" s="14">
        <f>AD21 + AE21</f>
        <v/>
      </c>
      <c r="AG21" s="14">
        <f>ABS(U21 - J21)</f>
        <v/>
      </c>
      <c r="AH21" s="14">
        <f>IF(U21&gt;J21, (U21-J21)*2700000, 0)</f>
        <v/>
      </c>
      <c r="AI21" s="14">
        <f>IF(J21&gt;U21, (J21-U21)*6000000, 0)</f>
        <v/>
      </c>
      <c r="AJ21" s="14">
        <f>AH21 + AI21 + S21</f>
        <v/>
      </c>
    </row>
    <row r="22">
      <c r="A22" s="13" t="inlineStr">
        <is>
          <t>Ngày 20 (20/05)</t>
        </is>
      </c>
      <c r="B22" s="14" t="n">
        <v>30.7</v>
      </c>
      <c r="C22" s="14" t="n">
        <v>0</v>
      </c>
      <c r="D22" s="14" t="n">
        <v>0.35</v>
      </c>
      <c r="E22" s="14" t="n">
        <v>190.4</v>
      </c>
      <c r="F22" s="14" t="n">
        <v>0</v>
      </c>
      <c r="G22" s="14" t="n">
        <v>196.8</v>
      </c>
      <c r="H22" s="14">
        <f>G22*IF(F22=1, 0.85, 0.8)</f>
        <v/>
      </c>
      <c r="I22" s="13" t="inlineStr">
        <is>
          <t>2-4</t>
        </is>
      </c>
      <c r="J22" s="14">
        <f>ROUNDUP(H22/17.2, 0)</f>
        <v/>
      </c>
      <c r="K22" s="14">
        <f>ROUND(TREND(G$3:G$94, E$3:E$94, E22), 1)</f>
        <v/>
      </c>
      <c r="L22" s="14">
        <f>ROUND(TREND(G$3:G$94, B$3:E$94, B22:E22), 1)</f>
        <v/>
      </c>
      <c r="M22" s="14">
        <f>ROUND(TREND(G$3:G$94, B$3:F$94, B22:F22), 1)</f>
        <v/>
      </c>
      <c r="N22" s="14">
        <f>ROUNDUP(M22*IF(F22=1, 0.85, 0.8)/17.2, 0)</f>
        <v/>
      </c>
      <c r="O22" s="14">
        <f>ROUND(N22*70%, 0)</f>
        <v/>
      </c>
      <c r="P22" s="14">
        <f>MIN(ROUNDUP(N22*0.2, 0), MAX(0, N22 - O22))</f>
        <v/>
      </c>
      <c r="Q22" s="13">
        <f>IF(C22&gt;20, "Hủy slot (Mưa &gt; 20mm)", "Kích hoạt")</f>
        <v/>
      </c>
      <c r="R22" s="14">
        <f>IF(C22&gt;20, 0, P22)</f>
        <v/>
      </c>
      <c r="S22" s="14">
        <f>IF(C22&gt;20, P22*0.4*Y22, 0)</f>
        <v/>
      </c>
      <c r="T22" s="14">
        <f>MAX(0, J22 - O22 - R22)</f>
        <v/>
      </c>
      <c r="U22" s="14">
        <f>O22 + R22 + T22</f>
        <v/>
      </c>
      <c r="V22" s="14" t="n">
        <v>13</v>
      </c>
      <c r="W22" s="13" t="inlineStr">
        <is>
          <t>2-4</t>
        </is>
      </c>
      <c r="X22" s="14" t="n">
        <v>2</v>
      </c>
      <c r="Y22" s="14">
        <f>IF(OR(B22&gt;=34, F22=1), 11700000, 9000000)</f>
        <v/>
      </c>
      <c r="Z22" s="14" t="n">
        <v>0.02</v>
      </c>
      <c r="AA22" s="14">
        <f>AVERAGE(J19:J21)</f>
        <v/>
      </c>
      <c r="AB22" s="14">
        <f>ABS(J22 - AA22)</f>
        <v/>
      </c>
      <c r="AC22" s="13" t="inlineStr">
        <is>
          <t>Hợp lệ</t>
        </is>
      </c>
      <c r="AD22" s="14">
        <f>IF(AA22="", 0, IF(AA22&gt;J22, (AA22-J22)*2700000, 0))</f>
        <v/>
      </c>
      <c r="AE22" s="14">
        <f>IF(AA22="", 0, IF(J22&gt;AA22, (J22-AA22)*6000000, 0))</f>
        <v/>
      </c>
      <c r="AF22" s="14">
        <f>AD22 + AE22</f>
        <v/>
      </c>
      <c r="AG22" s="14">
        <f>ABS(U22 - J22)</f>
        <v/>
      </c>
      <c r="AH22" s="14">
        <f>IF(U22&gt;J22, (U22-J22)*2700000, 0)</f>
        <v/>
      </c>
      <c r="AI22" s="14">
        <f>IF(J22&gt;U22, (J22-U22)*6000000, 0)</f>
        <v/>
      </c>
      <c r="AJ22" s="14">
        <f>AH22 + AI22 + S22</f>
        <v/>
      </c>
    </row>
    <row r="23">
      <c r="A23" s="13" t="inlineStr">
        <is>
          <t>Ngày 21 (21/05)</t>
        </is>
      </c>
      <c r="B23" s="14" t="n">
        <v>30.3</v>
      </c>
      <c r="C23" s="14" t="n">
        <v>0</v>
      </c>
      <c r="D23" s="14" t="n">
        <v>0.36</v>
      </c>
      <c r="E23" s="14" t="n">
        <v>198.6</v>
      </c>
      <c r="F23" s="14" t="n">
        <v>1</v>
      </c>
      <c r="G23" s="14" t="n">
        <v>251.1</v>
      </c>
      <c r="H23" s="14">
        <f>G23*IF(F23=1, 0.85, 0.8)</f>
        <v/>
      </c>
      <c r="I23" s="13" t="inlineStr">
        <is>
          <t>2-4</t>
        </is>
      </c>
      <c r="J23" s="14">
        <f>ROUNDUP(H23/17.2, 0)</f>
        <v/>
      </c>
      <c r="K23" s="14">
        <f>ROUND(TREND(G$3:G$94, E$3:E$94, E23), 1)</f>
        <v/>
      </c>
      <c r="L23" s="14">
        <f>ROUND(TREND(G$3:G$94, B$3:E$94, B23:E23), 1)</f>
        <v/>
      </c>
      <c r="M23" s="14">
        <f>ROUND(TREND(G$3:G$94, B$3:F$94, B23:F23), 1)</f>
        <v/>
      </c>
      <c r="N23" s="14">
        <f>ROUNDUP(M23*IF(F23=1, 0.85, 0.8)/17.2, 0)</f>
        <v/>
      </c>
      <c r="O23" s="14">
        <f>ROUND(N23*70%, 0)</f>
        <v/>
      </c>
      <c r="P23" s="14">
        <f>MIN(ROUNDUP(N23*0.2, 0), MAX(0, N23 - O23))</f>
        <v/>
      </c>
      <c r="Q23" s="13">
        <f>IF(C23&gt;20, "Hủy slot (Mưa &gt; 20mm)", "Kích hoạt")</f>
        <v/>
      </c>
      <c r="R23" s="14">
        <f>IF(C23&gt;20, 0, P23)</f>
        <v/>
      </c>
      <c r="S23" s="14">
        <f>IF(C23&gt;20, P23*0.4*Y23, 0)</f>
        <v/>
      </c>
      <c r="T23" s="14">
        <f>MAX(0, J23 - O23 - R23)</f>
        <v/>
      </c>
      <c r="U23" s="14">
        <f>O23 + R23 + T23</f>
        <v/>
      </c>
      <c r="V23" s="14" t="n">
        <v>16</v>
      </c>
      <c r="W23" s="13" t="inlineStr">
        <is>
          <t>2-4</t>
        </is>
      </c>
      <c r="X23" s="14" t="n">
        <v>2</v>
      </c>
      <c r="Y23" s="14">
        <f>IF(OR(B23&gt;=34, F23=1), 11700000, 9000000)</f>
        <v/>
      </c>
      <c r="Z23" s="14" t="n">
        <v>0.02</v>
      </c>
      <c r="AA23" s="14">
        <f>AVERAGE(J20:J22)</f>
        <v/>
      </c>
      <c r="AB23" s="14">
        <f>ABS(J23 - AA23)</f>
        <v/>
      </c>
      <c r="AC23" s="13" t="inlineStr">
        <is>
          <t>Hợp lệ</t>
        </is>
      </c>
      <c r="AD23" s="14">
        <f>IF(AA23="", 0, IF(AA23&gt;J23, (AA23-J23)*2700000, 0))</f>
        <v/>
      </c>
      <c r="AE23" s="14">
        <f>IF(AA23="", 0, IF(J23&gt;AA23, (J23-AA23)*6000000, 0))</f>
        <v/>
      </c>
      <c r="AF23" s="14">
        <f>AD23 + AE23</f>
        <v/>
      </c>
      <c r="AG23" s="14">
        <f>ABS(U23 - J23)</f>
        <v/>
      </c>
      <c r="AH23" s="14">
        <f>IF(U23&gt;J23, (U23-J23)*2700000, 0)</f>
        <v/>
      </c>
      <c r="AI23" s="14">
        <f>IF(J23&gt;U23, (J23-U23)*6000000, 0)</f>
        <v/>
      </c>
      <c r="AJ23" s="14">
        <f>AH23 + AI23 + S23</f>
        <v/>
      </c>
    </row>
    <row r="24">
      <c r="A24" s="13" t="inlineStr">
        <is>
          <t>Ngày 22 (22/05)</t>
        </is>
      </c>
      <c r="B24" s="14" t="n">
        <v>29.9</v>
      </c>
      <c r="C24" s="14" t="n">
        <v>25</v>
      </c>
      <c r="D24" s="14" t="n">
        <v>0.37</v>
      </c>
      <c r="E24" s="14" t="n">
        <v>225.4</v>
      </c>
      <c r="F24" s="14" t="n">
        <v>1</v>
      </c>
      <c r="G24" s="14" t="n">
        <v>183.6</v>
      </c>
      <c r="H24" s="14">
        <f>G24*IF(F24=1, 0.85, 0.8)</f>
        <v/>
      </c>
      <c r="I24" s="13" t="inlineStr">
        <is>
          <t>2-4</t>
        </is>
      </c>
      <c r="J24" s="14">
        <f>ROUNDUP(H24/17.2, 0)</f>
        <v/>
      </c>
      <c r="K24" s="14">
        <f>ROUND(TREND(G$3:G$94, E$3:E$94, E24), 1)</f>
        <v/>
      </c>
      <c r="L24" s="14">
        <f>ROUND(TREND(G$3:G$94, B$3:E$94, B24:E24), 1)</f>
        <v/>
      </c>
      <c r="M24" s="14">
        <f>ROUND(TREND(G$3:G$94, B$3:F$94, B24:F24), 1)</f>
        <v/>
      </c>
      <c r="N24" s="14">
        <f>ROUNDUP(M24*IF(F24=1, 0.85, 0.8)/17.2, 0)</f>
        <v/>
      </c>
      <c r="O24" s="14">
        <f>ROUND(N24*70%, 0)</f>
        <v/>
      </c>
      <c r="P24" s="14">
        <f>MIN(ROUNDUP(N24*0.2, 0), MAX(0, N24 - O24))</f>
        <v/>
      </c>
      <c r="Q24" s="13">
        <f>IF(C24&gt;20, "Hủy slot (Mưa &gt; 20mm)", "Kích hoạt")</f>
        <v/>
      </c>
      <c r="R24" s="14">
        <f>IF(C24&gt;20, 0, P24)</f>
        <v/>
      </c>
      <c r="S24" s="14">
        <f>IF(C24&gt;20, P24*0.4*Y24, 0)</f>
        <v/>
      </c>
      <c r="T24" s="14">
        <f>MAX(0, J24 - O24 - R24)</f>
        <v/>
      </c>
      <c r="U24" s="14">
        <f>O24 + R24 + T24</f>
        <v/>
      </c>
      <c r="V24" s="14" t="n">
        <v>12</v>
      </c>
      <c r="W24" s="13" t="inlineStr">
        <is>
          <t>2-4</t>
        </is>
      </c>
      <c r="X24" s="14" t="n">
        <v>1</v>
      </c>
      <c r="Y24" s="14">
        <f>IF(OR(B24&gt;=34, F24=1), 11700000, 9000000)</f>
        <v/>
      </c>
      <c r="Z24" s="14" t="n">
        <v>0.02</v>
      </c>
      <c r="AA24" s="14">
        <f>AVERAGE(J21:J23)</f>
        <v/>
      </c>
      <c r="AB24" s="14">
        <f>ABS(J24 - AA24)</f>
        <v/>
      </c>
      <c r="AC24" s="13" t="inlineStr">
        <is>
          <t>Hợp lệ</t>
        </is>
      </c>
      <c r="AD24" s="14">
        <f>IF(AA24="", 0, IF(AA24&gt;J24, (AA24-J24)*2700000, 0))</f>
        <v/>
      </c>
      <c r="AE24" s="14">
        <f>IF(AA24="", 0, IF(J24&gt;AA24, (J24-AA24)*6000000, 0))</f>
        <v/>
      </c>
      <c r="AF24" s="14">
        <f>AD24 + AE24</f>
        <v/>
      </c>
      <c r="AG24" s="14">
        <f>ABS(U24 - J24)</f>
        <v/>
      </c>
      <c r="AH24" s="14">
        <f>IF(U24&gt;J24, (U24-J24)*2700000, 0)</f>
        <v/>
      </c>
      <c r="AI24" s="14">
        <f>IF(J24&gt;U24, (J24-U24)*6000000, 0)</f>
        <v/>
      </c>
      <c r="AJ24" s="14">
        <f>AH24 + AI24 + S24</f>
        <v/>
      </c>
    </row>
    <row r="25">
      <c r="A25" s="13" t="inlineStr">
        <is>
          <t>Ngày 23 (23/05)</t>
        </is>
      </c>
      <c r="B25" s="14" t="n">
        <v>30.4</v>
      </c>
      <c r="C25" s="14" t="n">
        <v>0</v>
      </c>
      <c r="D25" s="14" t="n">
        <v>0.38</v>
      </c>
      <c r="E25" s="14" t="n">
        <v>217.2</v>
      </c>
      <c r="F25" s="14" t="n">
        <v>0</v>
      </c>
      <c r="G25" s="14" t="n">
        <v>219</v>
      </c>
      <c r="H25" s="14">
        <f>G25*IF(F25=1, 0.85, 0.8)</f>
        <v/>
      </c>
      <c r="I25" s="13" t="inlineStr">
        <is>
          <t>2-4</t>
        </is>
      </c>
      <c r="J25" s="14">
        <f>ROUNDUP(H25/17.2, 0)</f>
        <v/>
      </c>
      <c r="K25" s="14">
        <f>ROUND(TREND(G$3:G$94, E$3:E$94, E25), 1)</f>
        <v/>
      </c>
      <c r="L25" s="14">
        <f>ROUND(TREND(G$3:G$94, B$3:E$94, B25:E25), 1)</f>
        <v/>
      </c>
      <c r="M25" s="14">
        <f>ROUND(TREND(G$3:G$94, B$3:F$94, B25:F25), 1)</f>
        <v/>
      </c>
      <c r="N25" s="14">
        <f>ROUNDUP(M25*IF(F25=1, 0.85, 0.8)/17.2, 0)</f>
        <v/>
      </c>
      <c r="O25" s="14">
        <f>ROUND(N25*70%, 0)</f>
        <v/>
      </c>
      <c r="P25" s="14">
        <f>MIN(ROUNDUP(N25*0.2, 0), MAX(0, N25 - O25))</f>
        <v/>
      </c>
      <c r="Q25" s="13">
        <f>IF(C25&gt;20, "Hủy slot (Mưa &gt; 20mm)", "Kích hoạt")</f>
        <v/>
      </c>
      <c r="R25" s="14">
        <f>IF(C25&gt;20, 0, P25)</f>
        <v/>
      </c>
      <c r="S25" s="14">
        <f>IF(C25&gt;20, P25*0.4*Y25, 0)</f>
        <v/>
      </c>
      <c r="T25" s="14">
        <f>MAX(0, J25 - O25 - R25)</f>
        <v/>
      </c>
      <c r="U25" s="14">
        <f>O25 + R25 + T25</f>
        <v/>
      </c>
      <c r="V25" s="14" t="n">
        <v>15</v>
      </c>
      <c r="W25" s="13" t="inlineStr">
        <is>
          <t>2-4</t>
        </is>
      </c>
      <c r="X25" s="14" t="n">
        <v>2</v>
      </c>
      <c r="Y25" s="14">
        <f>IF(OR(B25&gt;=34, F25=1), 11700000, 9000000)</f>
        <v/>
      </c>
      <c r="Z25" s="14" t="n">
        <v>0.02</v>
      </c>
      <c r="AA25" s="14">
        <f>AVERAGE(J22:J24)</f>
        <v/>
      </c>
      <c r="AB25" s="14">
        <f>ABS(J25 - AA25)</f>
        <v/>
      </c>
      <c r="AC25" s="13" t="inlineStr">
        <is>
          <t>Hợp lệ</t>
        </is>
      </c>
      <c r="AD25" s="14">
        <f>IF(AA25="", 0, IF(AA25&gt;J25, (AA25-J25)*2700000, 0))</f>
        <v/>
      </c>
      <c r="AE25" s="14">
        <f>IF(AA25="", 0, IF(J25&gt;AA25, (J25-AA25)*6000000, 0))</f>
        <v/>
      </c>
      <c r="AF25" s="14">
        <f>AD25 + AE25</f>
        <v/>
      </c>
      <c r="AG25" s="14">
        <f>ABS(U25 - J25)</f>
        <v/>
      </c>
      <c r="AH25" s="14">
        <f>IF(U25&gt;J25, (U25-J25)*2700000, 0)</f>
        <v/>
      </c>
      <c r="AI25" s="14">
        <f>IF(J25&gt;U25, (J25-U25)*6000000, 0)</f>
        <v/>
      </c>
      <c r="AJ25" s="14">
        <f>AH25 + AI25 + S25</f>
        <v/>
      </c>
    </row>
    <row r="26">
      <c r="A26" s="13" t="inlineStr">
        <is>
          <t>Ngày 24 (24/05)</t>
        </is>
      </c>
      <c r="B26" s="14" t="n">
        <v>30.7</v>
      </c>
      <c r="C26" s="14" t="n">
        <v>0</v>
      </c>
      <c r="D26" s="14" t="n">
        <v>0.39</v>
      </c>
      <c r="E26" s="14" t="n">
        <v>256.5</v>
      </c>
      <c r="F26" s="14" t="n">
        <v>0</v>
      </c>
      <c r="G26" s="14" t="n">
        <v>233.6</v>
      </c>
      <c r="H26" s="14">
        <f>G26*IF(F26=1, 0.85, 0.8)</f>
        <v/>
      </c>
      <c r="I26" s="13" t="inlineStr">
        <is>
          <t>2-4</t>
        </is>
      </c>
      <c r="J26" s="14">
        <f>ROUNDUP(H26/17.2, 0)</f>
        <v/>
      </c>
      <c r="K26" s="14">
        <f>ROUND(TREND(G$3:G$94, E$3:E$94, E26), 1)</f>
        <v/>
      </c>
      <c r="L26" s="14">
        <f>ROUND(TREND(G$3:G$94, B$3:E$94, B26:E26), 1)</f>
        <v/>
      </c>
      <c r="M26" s="14">
        <f>ROUND(TREND(G$3:G$94, B$3:F$94, B26:F26), 1)</f>
        <v/>
      </c>
      <c r="N26" s="14">
        <f>ROUNDUP(M26*IF(F26=1, 0.85, 0.8)/17.2, 0)</f>
        <v/>
      </c>
      <c r="O26" s="14">
        <f>ROUND(N26*70%, 0)</f>
        <v/>
      </c>
      <c r="P26" s="14">
        <f>MIN(ROUNDUP(N26*0.2, 0), MAX(0, N26 - O26))</f>
        <v/>
      </c>
      <c r="Q26" s="13">
        <f>IF(C26&gt;20, "Hủy slot (Mưa &gt; 20mm)", "Kích hoạt")</f>
        <v/>
      </c>
      <c r="R26" s="14">
        <f>IF(C26&gt;20, 0, P26)</f>
        <v/>
      </c>
      <c r="S26" s="14">
        <f>IF(C26&gt;20, P26*0.4*Y26, 0)</f>
        <v/>
      </c>
      <c r="T26" s="14">
        <f>MAX(0, J26 - O26 - R26)</f>
        <v/>
      </c>
      <c r="U26" s="14">
        <f>O26 + R26 + T26</f>
        <v/>
      </c>
      <c r="V26" s="14" t="n">
        <v>13</v>
      </c>
      <c r="W26" s="13" t="inlineStr">
        <is>
          <t>2-4</t>
        </is>
      </c>
      <c r="X26" s="14" t="n">
        <v>1</v>
      </c>
      <c r="Y26" s="14">
        <f>IF(OR(B26&gt;=34, F26=1), 11700000, 9000000)</f>
        <v/>
      </c>
      <c r="Z26" s="14" t="n">
        <v>0.02</v>
      </c>
      <c r="AA26" s="14">
        <f>AVERAGE(J23:J25)</f>
        <v/>
      </c>
      <c r="AB26" s="14">
        <f>ABS(J26 - AA26)</f>
        <v/>
      </c>
      <c r="AC26" s="13" t="inlineStr">
        <is>
          <t>Hợp lệ</t>
        </is>
      </c>
      <c r="AD26" s="14">
        <f>IF(AA26="", 0, IF(AA26&gt;J26, (AA26-J26)*2700000, 0))</f>
        <v/>
      </c>
      <c r="AE26" s="14">
        <f>IF(AA26="", 0, IF(J26&gt;AA26, (J26-AA26)*6000000, 0))</f>
        <v/>
      </c>
      <c r="AF26" s="14">
        <f>AD26 + AE26</f>
        <v/>
      </c>
      <c r="AG26" s="14">
        <f>ABS(U26 - J26)</f>
        <v/>
      </c>
      <c r="AH26" s="14">
        <f>IF(U26&gt;J26, (U26-J26)*2700000, 0)</f>
        <v/>
      </c>
      <c r="AI26" s="14">
        <f>IF(J26&gt;U26, (J26-U26)*6000000, 0)</f>
        <v/>
      </c>
      <c r="AJ26" s="14">
        <f>AH26 + AI26 + S26</f>
        <v/>
      </c>
    </row>
    <row r="27">
      <c r="A27" s="13" t="inlineStr">
        <is>
          <t>Ngày 25 (25/05)</t>
        </is>
      </c>
      <c r="B27" s="14" t="n">
        <v>29.2</v>
      </c>
      <c r="C27" s="14" t="n">
        <v>0</v>
      </c>
      <c r="D27" s="14" t="n">
        <v>0.41</v>
      </c>
      <c r="E27" s="14" t="n">
        <v>260</v>
      </c>
      <c r="F27" s="14" t="n">
        <v>0</v>
      </c>
      <c r="G27" s="14" t="n">
        <v>246.4</v>
      </c>
      <c r="H27" s="14">
        <f>G27*IF(F27=1, 0.85, 0.8)</f>
        <v/>
      </c>
      <c r="I27" s="13" t="inlineStr">
        <is>
          <t>2-4</t>
        </is>
      </c>
      <c r="J27" s="14">
        <f>ROUNDUP(H27/17.2, 0)</f>
        <v/>
      </c>
      <c r="K27" s="14">
        <f>ROUND(TREND(G$3:G$94, E$3:E$94, E27), 1)</f>
        <v/>
      </c>
      <c r="L27" s="14">
        <f>ROUND(TREND(G$3:G$94, B$3:E$94, B27:E27), 1)</f>
        <v/>
      </c>
      <c r="M27" s="14">
        <f>ROUND(TREND(G$3:G$94, B$3:F$94, B27:F27), 1)</f>
        <v/>
      </c>
      <c r="N27" s="14">
        <f>ROUNDUP(M27*IF(F27=1, 0.85, 0.8)/17.2, 0)</f>
        <v/>
      </c>
      <c r="O27" s="14">
        <f>ROUND(N27*70%, 0)</f>
        <v/>
      </c>
      <c r="P27" s="14">
        <f>MIN(ROUNDUP(N27*0.2, 0), MAX(0, N27 - O27))</f>
        <v/>
      </c>
      <c r="Q27" s="13">
        <f>IF(C27&gt;20, "Hủy slot (Mưa &gt; 20mm)", "Kích hoạt")</f>
        <v/>
      </c>
      <c r="R27" s="14">
        <f>IF(C27&gt;20, 0, P27)</f>
        <v/>
      </c>
      <c r="S27" s="14">
        <f>IF(C27&gt;20, P27*0.4*Y27, 0)</f>
        <v/>
      </c>
      <c r="T27" s="14">
        <f>MAX(0, J27 - O27 - R27)</f>
        <v/>
      </c>
      <c r="U27" s="14">
        <f>O27 + R27 + T27</f>
        <v/>
      </c>
      <c r="V27" s="14" t="n">
        <v>17</v>
      </c>
      <c r="W27" s="13" t="inlineStr">
        <is>
          <t>2-4</t>
        </is>
      </c>
      <c r="X27" s="14" t="n">
        <v>2</v>
      </c>
      <c r="Y27" s="14">
        <f>IF(OR(B27&gt;=34, F27=1), 11700000, 9000000)</f>
        <v/>
      </c>
      <c r="Z27" s="14" t="n">
        <v>0.02</v>
      </c>
      <c r="AA27" s="14">
        <f>AVERAGE(J24:J26)</f>
        <v/>
      </c>
      <c r="AB27" s="14">
        <f>ABS(J27 - AA27)</f>
        <v/>
      </c>
      <c r="AC27" s="13" t="inlineStr">
        <is>
          <t>Hợp lệ</t>
        </is>
      </c>
      <c r="AD27" s="14">
        <f>IF(AA27="", 0, IF(AA27&gt;J27, (AA27-J27)*2700000, 0))</f>
        <v/>
      </c>
      <c r="AE27" s="14">
        <f>IF(AA27="", 0, IF(J27&gt;AA27, (J27-AA27)*6000000, 0))</f>
        <v/>
      </c>
      <c r="AF27" s="14">
        <f>AD27 + AE27</f>
        <v/>
      </c>
      <c r="AG27" s="14">
        <f>ABS(U27 - J27)</f>
        <v/>
      </c>
      <c r="AH27" s="14">
        <f>IF(U27&gt;J27, (U27-J27)*2700000, 0)</f>
        <v/>
      </c>
      <c r="AI27" s="14">
        <f>IF(J27&gt;U27, (J27-U27)*6000000, 0)</f>
        <v/>
      </c>
      <c r="AJ27" s="14">
        <f>AH27 + AI27 + S27</f>
        <v/>
      </c>
    </row>
    <row r="28">
      <c r="A28" s="13" t="inlineStr">
        <is>
          <t>Ngày 26 (26/05)</t>
        </is>
      </c>
      <c r="B28" s="14" t="n">
        <v>30.2</v>
      </c>
      <c r="C28" s="14" t="n">
        <v>0</v>
      </c>
      <c r="D28" s="14" t="n">
        <v>0.42</v>
      </c>
      <c r="E28" s="14" t="n">
        <v>263.6</v>
      </c>
      <c r="F28" s="14" t="n">
        <v>0</v>
      </c>
      <c r="G28" s="14" t="n">
        <v>287.2</v>
      </c>
      <c r="H28" s="14">
        <f>G28*IF(F28=1, 0.85, 0.8)</f>
        <v/>
      </c>
      <c r="I28" s="13" t="inlineStr">
        <is>
          <t>2-4</t>
        </is>
      </c>
      <c r="J28" s="14">
        <f>ROUNDUP(H28/17.2, 0)</f>
        <v/>
      </c>
      <c r="K28" s="14">
        <f>ROUND(TREND(G$3:G$94, E$3:E$94, E28), 1)</f>
        <v/>
      </c>
      <c r="L28" s="14">
        <f>ROUND(TREND(G$3:G$94, B$3:E$94, B28:E28), 1)</f>
        <v/>
      </c>
      <c r="M28" s="14">
        <f>ROUND(TREND(G$3:G$94, B$3:F$94, B28:F28), 1)</f>
        <v/>
      </c>
      <c r="N28" s="14">
        <f>ROUNDUP(M28*IF(F28=1, 0.85, 0.8)/17.2, 0)</f>
        <v/>
      </c>
      <c r="O28" s="14">
        <f>ROUND(N28*70%, 0)</f>
        <v/>
      </c>
      <c r="P28" s="14">
        <f>MIN(ROUNDUP(N28*0.2, 0), MAX(0, N28 - O28))</f>
        <v/>
      </c>
      <c r="Q28" s="13">
        <f>IF(C28&gt;20, "Hủy slot (Mưa &gt; 20mm)", "Kích hoạt")</f>
        <v/>
      </c>
      <c r="R28" s="14">
        <f>IF(C28&gt;20, 0, P28)</f>
        <v/>
      </c>
      <c r="S28" s="14">
        <f>IF(C28&gt;20, P28*0.4*Y28, 0)</f>
        <v/>
      </c>
      <c r="T28" s="14">
        <f>MAX(0, J28 - O28 - R28)</f>
        <v/>
      </c>
      <c r="U28" s="14">
        <f>O28 + R28 + T28</f>
        <v/>
      </c>
      <c r="V28" s="14" t="n">
        <v>18</v>
      </c>
      <c r="W28" s="13" t="inlineStr">
        <is>
          <t>2-4</t>
        </is>
      </c>
      <c r="X28" s="14" t="n">
        <v>3</v>
      </c>
      <c r="Y28" s="14">
        <f>IF(OR(B28&gt;=34, F28=1), 11700000, 9000000)</f>
        <v/>
      </c>
      <c r="Z28" s="14" t="n">
        <v>0.02</v>
      </c>
      <c r="AA28" s="14">
        <f>AVERAGE(J25:J27)</f>
        <v/>
      </c>
      <c r="AB28" s="14">
        <f>ABS(J28 - AA28)</f>
        <v/>
      </c>
      <c r="AC28" s="13" t="inlineStr">
        <is>
          <t>Hợp lệ</t>
        </is>
      </c>
      <c r="AD28" s="14">
        <f>IF(AA28="", 0, IF(AA28&gt;J28, (AA28-J28)*2700000, 0))</f>
        <v/>
      </c>
      <c r="AE28" s="14">
        <f>IF(AA28="", 0, IF(J28&gt;AA28, (J28-AA28)*6000000, 0))</f>
        <v/>
      </c>
      <c r="AF28" s="14">
        <f>AD28 + AE28</f>
        <v/>
      </c>
      <c r="AG28" s="14">
        <f>ABS(U28 - J28)</f>
        <v/>
      </c>
      <c r="AH28" s="14">
        <f>IF(U28&gt;J28, (U28-J28)*2700000, 0)</f>
        <v/>
      </c>
      <c r="AI28" s="14">
        <f>IF(J28&gt;U28, (J28-U28)*6000000, 0)</f>
        <v/>
      </c>
      <c r="AJ28" s="14">
        <f>AH28 + AI28 + S28</f>
        <v/>
      </c>
    </row>
    <row r="29">
      <c r="A29" s="13" t="inlineStr">
        <is>
          <t>Ngày 27 (27/05)</t>
        </is>
      </c>
      <c r="B29" s="14" t="n">
        <v>29.4</v>
      </c>
      <c r="C29" s="14" t="n">
        <v>0</v>
      </c>
      <c r="D29" s="14" t="n">
        <v>0.43</v>
      </c>
      <c r="E29" s="14" t="n">
        <v>243.7</v>
      </c>
      <c r="F29" s="14" t="n">
        <v>0</v>
      </c>
      <c r="G29" s="14" t="n">
        <v>293.9</v>
      </c>
      <c r="H29" s="14">
        <f>G29*IF(F29=1, 0.85, 0.8)</f>
        <v/>
      </c>
      <c r="I29" s="13" t="inlineStr">
        <is>
          <t>2-4</t>
        </is>
      </c>
      <c r="J29" s="14">
        <f>ROUNDUP(H29/17.2, 0)</f>
        <v/>
      </c>
      <c r="K29" s="14">
        <f>ROUND(TREND(G$3:G$94, E$3:E$94, E29), 1)</f>
        <v/>
      </c>
      <c r="L29" s="14">
        <f>ROUND(TREND(G$3:G$94, B$3:E$94, B29:E29), 1)</f>
        <v/>
      </c>
      <c r="M29" s="14">
        <f>ROUND(TREND(G$3:G$94, B$3:F$94, B29:F29), 1)</f>
        <v/>
      </c>
      <c r="N29" s="14">
        <f>ROUNDUP(M29*IF(F29=1, 0.85, 0.8)/17.2, 0)</f>
        <v/>
      </c>
      <c r="O29" s="14">
        <f>ROUND(N29*70%, 0)</f>
        <v/>
      </c>
      <c r="P29" s="14">
        <f>MIN(ROUNDUP(N29*0.2, 0), MAX(0, N29 - O29))</f>
        <v/>
      </c>
      <c r="Q29" s="13">
        <f>IF(C29&gt;20, "Hủy slot (Mưa &gt; 20mm)", "Kích hoạt")</f>
        <v/>
      </c>
      <c r="R29" s="14">
        <f>IF(C29&gt;20, 0, P29)</f>
        <v/>
      </c>
      <c r="S29" s="14">
        <f>IF(C29&gt;20, P29*0.4*Y29, 0)</f>
        <v/>
      </c>
      <c r="T29" s="14">
        <f>MAX(0, J29 - O29 - R29)</f>
        <v/>
      </c>
      <c r="U29" s="14">
        <f>O29 + R29 + T29</f>
        <v/>
      </c>
      <c r="V29" s="14" t="n">
        <v>18</v>
      </c>
      <c r="W29" s="13" t="inlineStr">
        <is>
          <t>2-4</t>
        </is>
      </c>
      <c r="X29" s="14" t="n">
        <v>1</v>
      </c>
      <c r="Y29" s="14">
        <f>IF(OR(B29&gt;=34, F29=1), 11700000, 9000000)</f>
        <v/>
      </c>
      <c r="Z29" s="14" t="n">
        <v>0.02</v>
      </c>
      <c r="AA29" s="14">
        <f>AVERAGE(J26:J28)</f>
        <v/>
      </c>
      <c r="AB29" s="14">
        <f>ABS(J29 - AA29)</f>
        <v/>
      </c>
      <c r="AC29" s="13" t="inlineStr">
        <is>
          <t>Hợp lệ</t>
        </is>
      </c>
      <c r="AD29" s="14">
        <f>IF(AA29="", 0, IF(AA29&gt;J29, (AA29-J29)*2700000, 0))</f>
        <v/>
      </c>
      <c r="AE29" s="14">
        <f>IF(AA29="", 0, IF(J29&gt;AA29, (J29-AA29)*6000000, 0))</f>
        <v/>
      </c>
      <c r="AF29" s="14">
        <f>AD29 + AE29</f>
        <v/>
      </c>
      <c r="AG29" s="14">
        <f>ABS(U29 - J29)</f>
        <v/>
      </c>
      <c r="AH29" s="14">
        <f>IF(U29&gt;J29, (U29-J29)*2700000, 0)</f>
        <v/>
      </c>
      <c r="AI29" s="14">
        <f>IF(J29&gt;U29, (J29-U29)*6000000, 0)</f>
        <v/>
      </c>
      <c r="AJ29" s="14">
        <f>AH29 + AI29 + S29</f>
        <v/>
      </c>
    </row>
    <row r="30">
      <c r="A30" s="13" t="inlineStr">
        <is>
          <t>Ngày 28 (28/05)</t>
        </is>
      </c>
      <c r="B30" s="14" t="n">
        <v>31</v>
      </c>
      <c r="C30" s="14" t="n">
        <v>15</v>
      </c>
      <c r="D30" s="14" t="n">
        <v>0.44</v>
      </c>
      <c r="E30" s="14" t="n">
        <v>283.6</v>
      </c>
      <c r="F30" s="14" t="n">
        <v>1</v>
      </c>
      <c r="G30" s="14" t="n">
        <v>317.5</v>
      </c>
      <c r="H30" s="14">
        <f>G30*IF(F30=1, 0.85, 0.8)</f>
        <v/>
      </c>
      <c r="I30" s="13" t="inlineStr">
        <is>
          <t>2-4</t>
        </is>
      </c>
      <c r="J30" s="14">
        <f>ROUNDUP(H30/17.2, 0)</f>
        <v/>
      </c>
      <c r="K30" s="14">
        <f>ROUND(TREND(G$3:G$94, E$3:E$94, E30), 1)</f>
        <v/>
      </c>
      <c r="L30" s="14">
        <f>ROUND(TREND(G$3:G$94, B$3:E$94, B30:E30), 1)</f>
        <v/>
      </c>
      <c r="M30" s="14">
        <f>ROUND(TREND(G$3:G$94, B$3:F$94, B30:F30), 1)</f>
        <v/>
      </c>
      <c r="N30" s="14">
        <f>ROUNDUP(M30*IF(F30=1, 0.85, 0.8)/17.2, 0)</f>
        <v/>
      </c>
      <c r="O30" s="14">
        <f>ROUND(N30*70%, 0)</f>
        <v/>
      </c>
      <c r="P30" s="14">
        <f>MIN(ROUNDUP(N30*0.2, 0), MAX(0, N30 - O30))</f>
        <v/>
      </c>
      <c r="Q30" s="13">
        <f>IF(C30&gt;20, "Hủy slot (Mưa &gt; 20mm)", "Kích hoạt")</f>
        <v/>
      </c>
      <c r="R30" s="14">
        <f>IF(C30&gt;20, 0, P30)</f>
        <v/>
      </c>
      <c r="S30" s="14">
        <f>IF(C30&gt;20, P30*0.4*Y30, 0)</f>
        <v/>
      </c>
      <c r="T30" s="14">
        <f>MAX(0, J30 - O30 - R30)</f>
        <v/>
      </c>
      <c r="U30" s="14">
        <f>O30 + R30 + T30</f>
        <v/>
      </c>
      <c r="V30" s="14" t="n">
        <v>19</v>
      </c>
      <c r="W30" s="13" t="inlineStr">
        <is>
          <t>2-4</t>
        </is>
      </c>
      <c r="X30" s="14" t="n">
        <v>2</v>
      </c>
      <c r="Y30" s="14">
        <f>IF(OR(B30&gt;=34, F30=1), 11700000, 9000000)</f>
        <v/>
      </c>
      <c r="Z30" s="14" t="n">
        <v>0.02</v>
      </c>
      <c r="AA30" s="14">
        <f>AVERAGE(J27:J29)</f>
        <v/>
      </c>
      <c r="AB30" s="14">
        <f>ABS(J30 - AA30)</f>
        <v/>
      </c>
      <c r="AC30" s="13" t="inlineStr">
        <is>
          <t>Hợp lệ</t>
        </is>
      </c>
      <c r="AD30" s="14">
        <f>IF(AA30="", 0, IF(AA30&gt;J30, (AA30-J30)*2700000, 0))</f>
        <v/>
      </c>
      <c r="AE30" s="14">
        <f>IF(AA30="", 0, IF(J30&gt;AA30, (J30-AA30)*6000000, 0))</f>
        <v/>
      </c>
      <c r="AF30" s="14">
        <f>AD30 + AE30</f>
        <v/>
      </c>
      <c r="AG30" s="14">
        <f>ABS(U30 - J30)</f>
        <v/>
      </c>
      <c r="AH30" s="14">
        <f>IF(U30&gt;J30, (U30-J30)*2700000, 0)</f>
        <v/>
      </c>
      <c r="AI30" s="14">
        <f>IF(J30&gt;U30, (J30-U30)*6000000, 0)</f>
        <v/>
      </c>
      <c r="AJ30" s="14">
        <f>AH30 + AI30 + S30</f>
        <v/>
      </c>
    </row>
    <row r="31">
      <c r="A31" s="13" t="inlineStr">
        <is>
          <t>Ngày 29 (29/05)</t>
        </is>
      </c>
      <c r="B31" s="14" t="n">
        <v>30.2</v>
      </c>
      <c r="C31" s="14" t="n">
        <v>0</v>
      </c>
      <c r="D31" s="14" t="n">
        <v>0.46</v>
      </c>
      <c r="E31" s="14" t="n">
        <v>356.2</v>
      </c>
      <c r="F31" s="14" t="n">
        <v>1</v>
      </c>
      <c r="G31" s="14" t="n">
        <v>340.5</v>
      </c>
      <c r="H31" s="14">
        <f>G31*IF(F31=1, 0.85, 0.8)</f>
        <v/>
      </c>
      <c r="I31" s="13" t="inlineStr">
        <is>
          <t>2-4</t>
        </is>
      </c>
      <c r="J31" s="14">
        <f>ROUNDUP(H31/17.2, 0)</f>
        <v/>
      </c>
      <c r="K31" s="14">
        <f>ROUND(TREND(G$3:G$94, E$3:E$94, E31), 1)</f>
        <v/>
      </c>
      <c r="L31" s="14">
        <f>ROUND(TREND(G$3:G$94, B$3:E$94, B31:E31), 1)</f>
        <v/>
      </c>
      <c r="M31" s="14">
        <f>ROUND(TREND(G$3:G$94, B$3:F$94, B31:F31), 1)</f>
        <v/>
      </c>
      <c r="N31" s="14">
        <f>ROUNDUP(M31*IF(F31=1, 0.85, 0.8)/17.2, 0)</f>
        <v/>
      </c>
      <c r="O31" s="14">
        <f>ROUND(N31*70%, 0)</f>
        <v/>
      </c>
      <c r="P31" s="14">
        <f>MIN(ROUNDUP(N31*0.2, 0), MAX(0, N31 - O31))</f>
        <v/>
      </c>
      <c r="Q31" s="13">
        <f>IF(C31&gt;20, "Hủy slot (Mưa &gt; 20mm)", "Kích hoạt")</f>
        <v/>
      </c>
      <c r="R31" s="14">
        <f>IF(C31&gt;20, 0, P31)</f>
        <v/>
      </c>
      <c r="S31" s="14">
        <f>IF(C31&gt;20, P31*0.4*Y31, 0)</f>
        <v/>
      </c>
      <c r="T31" s="14">
        <f>MAX(0, J31 - O31 - R31)</f>
        <v/>
      </c>
      <c r="U31" s="14">
        <f>O31 + R31 + T31</f>
        <v/>
      </c>
      <c r="V31" s="14" t="n">
        <v>22</v>
      </c>
      <c r="W31" s="13" t="inlineStr">
        <is>
          <t>2-4</t>
        </is>
      </c>
      <c r="X31" s="14" t="n">
        <v>1</v>
      </c>
      <c r="Y31" s="14">
        <f>IF(OR(B31&gt;=34, F31=1), 11700000, 9000000)</f>
        <v/>
      </c>
      <c r="Z31" s="14" t="n">
        <v>0.02</v>
      </c>
      <c r="AA31" s="14">
        <f>AVERAGE(J28:J30)</f>
        <v/>
      </c>
      <c r="AB31" s="14">
        <f>ABS(J31 - AA31)</f>
        <v/>
      </c>
      <c r="AC31" s="13" t="inlineStr">
        <is>
          <t>Hợp lệ</t>
        </is>
      </c>
      <c r="AD31" s="14">
        <f>IF(AA31="", 0, IF(AA31&gt;J31, (AA31-J31)*2700000, 0))</f>
        <v/>
      </c>
      <c r="AE31" s="14">
        <f>IF(AA31="", 0, IF(J31&gt;AA31, (J31-AA31)*6000000, 0))</f>
        <v/>
      </c>
      <c r="AF31" s="14">
        <f>AD31 + AE31</f>
        <v/>
      </c>
      <c r="AG31" s="14">
        <f>ABS(U31 - J31)</f>
        <v/>
      </c>
      <c r="AH31" s="14">
        <f>IF(U31&gt;J31, (U31-J31)*2700000, 0)</f>
        <v/>
      </c>
      <c r="AI31" s="14">
        <f>IF(J31&gt;U31, (J31-U31)*6000000, 0)</f>
        <v/>
      </c>
      <c r="AJ31" s="14">
        <f>AH31 + AI31 + S31</f>
        <v/>
      </c>
    </row>
    <row r="32">
      <c r="A32" s="13" t="inlineStr">
        <is>
          <t>Ngày 30 (30/05)</t>
        </is>
      </c>
      <c r="B32" s="14" t="n">
        <v>30.9</v>
      </c>
      <c r="C32" s="14" t="n">
        <v>0</v>
      </c>
      <c r="D32" s="14" t="n">
        <v>0.47</v>
      </c>
      <c r="E32" s="14" t="n">
        <v>334</v>
      </c>
      <c r="F32" s="14" t="n">
        <v>0</v>
      </c>
      <c r="G32" s="14" t="n">
        <v>329.3</v>
      </c>
      <c r="H32" s="14">
        <f>G32*IF(F32=1, 0.85, 0.8)</f>
        <v/>
      </c>
      <c r="I32" s="13" t="inlineStr">
        <is>
          <t>2-4</t>
        </is>
      </c>
      <c r="J32" s="14">
        <f>ROUNDUP(H32/17.2, 0)</f>
        <v/>
      </c>
      <c r="K32" s="14">
        <f>ROUND(TREND(G$3:G$94, E$3:E$94, E32), 1)</f>
        <v/>
      </c>
      <c r="L32" s="14">
        <f>ROUND(TREND(G$3:G$94, B$3:E$94, B32:E32), 1)</f>
        <v/>
      </c>
      <c r="M32" s="14">
        <f>ROUND(TREND(G$3:G$94, B$3:F$94, B32:F32), 1)</f>
        <v/>
      </c>
      <c r="N32" s="14">
        <f>ROUNDUP(M32*IF(F32=1, 0.85, 0.8)/17.2, 0)</f>
        <v/>
      </c>
      <c r="O32" s="14">
        <f>ROUND(N32*70%, 0)</f>
        <v/>
      </c>
      <c r="P32" s="14">
        <f>MIN(ROUNDUP(N32*0.2, 0), MAX(0, N32 - O32))</f>
        <v/>
      </c>
      <c r="Q32" s="13">
        <f>IF(C32&gt;20, "Hủy slot (Mưa &gt; 20mm)", "Kích hoạt")</f>
        <v/>
      </c>
      <c r="R32" s="14">
        <f>IF(C32&gt;20, 0, P32)</f>
        <v/>
      </c>
      <c r="S32" s="14">
        <f>IF(C32&gt;20, P32*0.4*Y32, 0)</f>
        <v/>
      </c>
      <c r="T32" s="14">
        <f>MAX(0, J32 - O32 - R32)</f>
        <v/>
      </c>
      <c r="U32" s="14">
        <f>O32 + R32 + T32</f>
        <v/>
      </c>
      <c r="V32" s="14" t="n">
        <v>19</v>
      </c>
      <c r="W32" s="13" t="inlineStr">
        <is>
          <t>2-4</t>
        </is>
      </c>
      <c r="X32" s="14" t="n">
        <v>2</v>
      </c>
      <c r="Y32" s="14">
        <f>IF(OR(B32&gt;=34, F32=1), 11700000, 9000000)</f>
        <v/>
      </c>
      <c r="Z32" s="14" t="n">
        <v>0.02</v>
      </c>
      <c r="AA32" s="14">
        <f>AVERAGE(J29:J31)</f>
        <v/>
      </c>
      <c r="AB32" s="14">
        <f>ABS(J32 - AA32)</f>
        <v/>
      </c>
      <c r="AC32" s="13" t="inlineStr">
        <is>
          <t>Hợp lệ</t>
        </is>
      </c>
      <c r="AD32" s="14">
        <f>IF(AA32="", 0, IF(AA32&gt;J32, (AA32-J32)*2700000, 0))</f>
        <v/>
      </c>
      <c r="AE32" s="14">
        <f>IF(AA32="", 0, IF(J32&gt;AA32, (J32-AA32)*6000000, 0))</f>
        <v/>
      </c>
      <c r="AF32" s="14">
        <f>AD32 + AE32</f>
        <v/>
      </c>
      <c r="AG32" s="14">
        <f>ABS(U32 - J32)</f>
        <v/>
      </c>
      <c r="AH32" s="14">
        <f>IF(U32&gt;J32, (U32-J32)*2700000, 0)</f>
        <v/>
      </c>
      <c r="AI32" s="14">
        <f>IF(J32&gt;U32, (J32-U32)*6000000, 0)</f>
        <v/>
      </c>
      <c r="AJ32" s="14">
        <f>AH32 + AI32 + S32</f>
        <v/>
      </c>
    </row>
    <row r="33">
      <c r="A33" s="13" t="inlineStr">
        <is>
          <t>Ngày 31 (31/05)</t>
        </is>
      </c>
      <c r="B33" s="14" t="n">
        <v>32.1</v>
      </c>
      <c r="C33" s="14" t="n">
        <v>0</v>
      </c>
      <c r="D33" s="14" t="n">
        <v>0.48</v>
      </c>
      <c r="E33" s="14" t="n">
        <v>288.5</v>
      </c>
      <c r="F33" s="14" t="n">
        <v>0</v>
      </c>
      <c r="G33" s="14" t="n">
        <v>353.7</v>
      </c>
      <c r="H33" s="14">
        <f>G33*IF(F33=1, 0.85, 0.8)</f>
        <v/>
      </c>
      <c r="I33" s="13" t="inlineStr">
        <is>
          <t>2-4</t>
        </is>
      </c>
      <c r="J33" s="14">
        <f>ROUNDUP(H33/17.2, 0)</f>
        <v/>
      </c>
      <c r="K33" s="14">
        <f>ROUND(TREND(G$3:G$94, E$3:E$94, E33), 1)</f>
        <v/>
      </c>
      <c r="L33" s="14">
        <f>ROUND(TREND(G$3:G$94, B$3:E$94, B33:E33), 1)</f>
        <v/>
      </c>
      <c r="M33" s="14">
        <f>ROUND(TREND(G$3:G$94, B$3:F$94, B33:F33), 1)</f>
        <v/>
      </c>
      <c r="N33" s="14">
        <f>ROUNDUP(M33*IF(F33=1, 0.85, 0.8)/17.2, 0)</f>
        <v/>
      </c>
      <c r="O33" s="14">
        <f>ROUND(N33*70%, 0)</f>
        <v/>
      </c>
      <c r="P33" s="14">
        <f>MIN(ROUNDUP(N33*0.2, 0), MAX(0, N33 - O33))</f>
        <v/>
      </c>
      <c r="Q33" s="13">
        <f>IF(C33&gt;20, "Hủy slot (Mưa &gt; 20mm)", "Kích hoạt")</f>
        <v/>
      </c>
      <c r="R33" s="14">
        <f>IF(C33&gt;20, 0, P33)</f>
        <v/>
      </c>
      <c r="S33" s="14">
        <f>IF(C33&gt;20, P33*0.4*Y33, 0)</f>
        <v/>
      </c>
      <c r="T33" s="14">
        <f>MAX(0, J33 - O33 - R33)</f>
        <v/>
      </c>
      <c r="U33" s="14">
        <f>O33 + R33 + T33</f>
        <v/>
      </c>
      <c r="V33" s="14" t="n">
        <v>21</v>
      </c>
      <c r="W33" s="13" t="inlineStr">
        <is>
          <t>2-4</t>
        </is>
      </c>
      <c r="X33" s="14" t="n">
        <v>3</v>
      </c>
      <c r="Y33" s="14">
        <f>IF(OR(B33&gt;=34, F33=1), 11700000, 9000000)</f>
        <v/>
      </c>
      <c r="Z33" s="14" t="n">
        <v>0.02</v>
      </c>
      <c r="AA33" s="14">
        <f>AVERAGE(J30:J32)</f>
        <v/>
      </c>
      <c r="AB33" s="14">
        <f>ABS(J33 - AA33)</f>
        <v/>
      </c>
      <c r="AC33" s="13" t="inlineStr">
        <is>
          <t>Hợp lệ</t>
        </is>
      </c>
      <c r="AD33" s="14">
        <f>IF(AA33="", 0, IF(AA33&gt;J33, (AA33-J33)*2700000, 0))</f>
        <v/>
      </c>
      <c r="AE33" s="14">
        <f>IF(AA33="", 0, IF(J33&gt;AA33, (J33-AA33)*6000000, 0))</f>
        <v/>
      </c>
      <c r="AF33" s="14">
        <f>AD33 + AE33</f>
        <v/>
      </c>
      <c r="AG33" s="14">
        <f>ABS(U33 - J33)</f>
        <v/>
      </c>
      <c r="AH33" s="14">
        <f>IF(U33&gt;J33, (U33-J33)*2700000, 0)</f>
        <v/>
      </c>
      <c r="AI33" s="14">
        <f>IF(J33&gt;U33, (J33-U33)*6000000, 0)</f>
        <v/>
      </c>
      <c r="AJ33" s="14">
        <f>AH33 + AI33 + S33</f>
        <v/>
      </c>
    </row>
    <row r="34">
      <c r="A34" s="13" t="inlineStr">
        <is>
          <t>Ngày 32 (01/06)</t>
        </is>
      </c>
      <c r="B34" s="14" t="n">
        <v>36</v>
      </c>
      <c r="C34" s="14" t="n">
        <v>0</v>
      </c>
      <c r="D34" s="14" t="n">
        <v>0.52</v>
      </c>
      <c r="E34" s="14" t="n">
        <v>599.4</v>
      </c>
      <c r="F34" s="14" t="n">
        <v>0</v>
      </c>
      <c r="G34" s="14" t="n">
        <v>650.7</v>
      </c>
      <c r="H34" s="14">
        <f>G34*IF(F34=1, 0.85, 0.8)</f>
        <v/>
      </c>
      <c r="I34" s="13" t="inlineStr">
        <is>
          <t>2-4</t>
        </is>
      </c>
      <c r="J34" s="14">
        <f>ROUNDUP(H34/17.2, 0)</f>
        <v/>
      </c>
      <c r="K34" s="14">
        <f>ROUND(TREND(G$3:G$94, E$3:E$94, E34), 1)</f>
        <v/>
      </c>
      <c r="L34" s="14">
        <f>ROUND(TREND(G$3:G$94, B$3:E$94, B34:E34), 1)</f>
        <v/>
      </c>
      <c r="M34" s="14">
        <f>ROUND(TREND(G$3:G$94, B$3:F$94, B34:F34), 1)</f>
        <v/>
      </c>
      <c r="N34" s="14">
        <f>ROUNDUP(M34*IF(F34=1, 0.85, 0.8)/17.2, 0)</f>
        <v/>
      </c>
      <c r="O34" s="14">
        <f>ROUND(N34*70%, 0)</f>
        <v/>
      </c>
      <c r="P34" s="14">
        <f>MIN(ROUNDUP(N34*0.2, 0), MAX(0, N34 - O34))</f>
        <v/>
      </c>
      <c r="Q34" s="13">
        <f>IF(C34&gt;20, "Hủy slot (Mưa &gt; 20mm)", "Kích hoạt")</f>
        <v/>
      </c>
      <c r="R34" s="14">
        <f>IF(C34&gt;20, 0, P34)</f>
        <v/>
      </c>
      <c r="S34" s="14">
        <f>IF(C34&gt;20, P34*0.4*Y34, 0)</f>
        <v/>
      </c>
      <c r="T34" s="14">
        <f>MAX(0, J34 - O34 - R34)</f>
        <v/>
      </c>
      <c r="U34" s="14">
        <f>O34 + R34 + T34</f>
        <v/>
      </c>
      <c r="V34" s="14" t="n">
        <v>35</v>
      </c>
      <c r="W34" s="13" t="inlineStr">
        <is>
          <t>2-4</t>
        </is>
      </c>
      <c r="X34" s="14" t="n">
        <v>2</v>
      </c>
      <c r="Y34" s="14">
        <f>IF(OR(B34&gt;=34, F34=1), 11700000, 9000000)</f>
        <v/>
      </c>
      <c r="Z34" s="14" t="n">
        <v>0.02</v>
      </c>
      <c r="AA34" s="14">
        <f>AVERAGE(J31:J33)</f>
        <v/>
      </c>
      <c r="AB34" s="14">
        <f>ABS(J34 - AA34)</f>
        <v/>
      </c>
      <c r="AC34" s="13" t="inlineStr">
        <is>
          <t>Hợp lệ</t>
        </is>
      </c>
      <c r="AD34" s="14">
        <f>IF(AA34="", 0, IF(AA34&gt;J34, (AA34-J34)*2700000, 0))</f>
        <v/>
      </c>
      <c r="AE34" s="14">
        <f>IF(AA34="", 0, IF(J34&gt;AA34, (J34-AA34)*6000000, 0))</f>
        <v/>
      </c>
      <c r="AF34" s="14">
        <f>AD34 + AE34</f>
        <v/>
      </c>
      <c r="AG34" s="14">
        <f>ABS(U34 - J34)</f>
        <v/>
      </c>
      <c r="AH34" s="14">
        <f>IF(U34&gt;J34, (U34-J34)*2700000, 0)</f>
        <v/>
      </c>
      <c r="AI34" s="14">
        <f>IF(J34&gt;U34, (J34-U34)*6000000, 0)</f>
        <v/>
      </c>
      <c r="AJ34" s="14">
        <f>AH34 + AI34 + S34</f>
        <v/>
      </c>
    </row>
    <row r="35">
      <c r="A35" s="13" t="inlineStr">
        <is>
          <t>Ngày 33 (02/06)</t>
        </is>
      </c>
      <c r="B35" s="14" t="n">
        <v>33.4</v>
      </c>
      <c r="C35" s="14" t="n">
        <v>0</v>
      </c>
      <c r="D35" s="14" t="n">
        <v>0.53</v>
      </c>
      <c r="E35" s="14" t="n">
        <v>600.3</v>
      </c>
      <c r="F35" s="14" t="n">
        <v>0</v>
      </c>
      <c r="G35" s="14" t="n">
        <v>530.1</v>
      </c>
      <c r="H35" s="14">
        <f>G35*IF(F35=1, 0.85, 0.8)</f>
        <v/>
      </c>
      <c r="I35" s="13" t="inlineStr">
        <is>
          <t>2-4</t>
        </is>
      </c>
      <c r="J35" s="14">
        <f>ROUNDUP(H35/17.2, 0)</f>
        <v/>
      </c>
      <c r="K35" s="14">
        <f>ROUND(TREND(G$3:G$94, E$3:E$94, E35), 1)</f>
        <v/>
      </c>
      <c r="L35" s="14">
        <f>ROUND(TREND(G$3:G$94, B$3:E$94, B35:E35), 1)</f>
        <v/>
      </c>
      <c r="M35" s="14">
        <f>ROUND(TREND(G$3:G$94, B$3:F$94, B35:F35), 1)</f>
        <v/>
      </c>
      <c r="N35" s="14">
        <f>ROUNDUP(M35*IF(F35=1, 0.85, 0.8)/17.2, 0)</f>
        <v/>
      </c>
      <c r="O35" s="14">
        <f>ROUND(N35*70%, 0)</f>
        <v/>
      </c>
      <c r="P35" s="14">
        <f>MIN(ROUNDUP(N35*0.2, 0), MAX(0, N35 - O35))</f>
        <v/>
      </c>
      <c r="Q35" s="13">
        <f>IF(C35&gt;20, "Hủy slot (Mưa &gt; 20mm)", "Kích hoạt")</f>
        <v/>
      </c>
      <c r="R35" s="14">
        <f>IF(C35&gt;20, 0, P35)</f>
        <v/>
      </c>
      <c r="S35" s="14">
        <f>IF(C35&gt;20, P35*0.4*Y35, 0)</f>
        <v/>
      </c>
      <c r="T35" s="14">
        <f>MAX(0, J35 - O35 - R35)</f>
        <v/>
      </c>
      <c r="U35" s="14">
        <f>O35 + R35 + T35</f>
        <v/>
      </c>
      <c r="V35" s="14" t="n">
        <v>30</v>
      </c>
      <c r="W35" s="13" t="inlineStr">
        <is>
          <t>2-4</t>
        </is>
      </c>
      <c r="X35" s="14" t="n">
        <v>1</v>
      </c>
      <c r="Y35" s="14">
        <f>IF(OR(B35&gt;=34, F35=1), 11700000, 9000000)</f>
        <v/>
      </c>
      <c r="Z35" s="14" t="n">
        <v>0.02</v>
      </c>
      <c r="AA35" s="14">
        <f>AVERAGE(J32:J34)</f>
        <v/>
      </c>
      <c r="AB35" s="14">
        <f>ABS(J35 - AA35)</f>
        <v/>
      </c>
      <c r="AC35" s="13" t="inlineStr">
        <is>
          <t>Hợp lệ</t>
        </is>
      </c>
      <c r="AD35" s="14">
        <f>IF(AA35="", 0, IF(AA35&gt;J35, (AA35-J35)*2700000, 0))</f>
        <v/>
      </c>
      <c r="AE35" s="14">
        <f>IF(AA35="", 0, IF(J35&gt;AA35, (J35-AA35)*6000000, 0))</f>
        <v/>
      </c>
      <c r="AF35" s="14">
        <f>AD35 + AE35</f>
        <v/>
      </c>
      <c r="AG35" s="14">
        <f>ABS(U35 - J35)</f>
        <v/>
      </c>
      <c r="AH35" s="14">
        <f>IF(U35&gt;J35, (U35-J35)*2700000, 0)</f>
        <v/>
      </c>
      <c r="AI35" s="14">
        <f>IF(J35&gt;U35, (J35-U35)*6000000, 0)</f>
        <v/>
      </c>
      <c r="AJ35" s="14">
        <f>AH35 + AI35 + S35</f>
        <v/>
      </c>
    </row>
    <row r="36">
      <c r="A36" s="13" t="inlineStr">
        <is>
          <t>Ngày 34 (03/06)</t>
        </is>
      </c>
      <c r="B36" s="14" t="n">
        <v>34.9</v>
      </c>
      <c r="C36" s="14" t="n">
        <v>0</v>
      </c>
      <c r="D36" s="14" t="n">
        <v>0.55</v>
      </c>
      <c r="E36" s="14" t="n">
        <v>542.2</v>
      </c>
      <c r="F36" s="14" t="n">
        <v>0</v>
      </c>
      <c r="G36" s="14" t="n">
        <v>599.9</v>
      </c>
      <c r="H36" s="14">
        <f>G36*IF(F36=1, 0.85, 0.8)</f>
        <v/>
      </c>
      <c r="I36" s="13" t="inlineStr">
        <is>
          <t>2-4</t>
        </is>
      </c>
      <c r="J36" s="14">
        <f>ROUNDUP(H36/17.2, 0)</f>
        <v/>
      </c>
      <c r="K36" s="14">
        <f>ROUND(TREND(G$3:G$94, E$3:E$94, E36), 1)</f>
        <v/>
      </c>
      <c r="L36" s="14">
        <f>ROUND(TREND(G$3:G$94, B$3:E$94, B36:E36), 1)</f>
        <v/>
      </c>
      <c r="M36" s="14">
        <f>ROUND(TREND(G$3:G$94, B$3:F$94, B36:F36), 1)</f>
        <v/>
      </c>
      <c r="N36" s="14">
        <f>ROUNDUP(M36*IF(F36=1, 0.85, 0.8)/17.2, 0)</f>
        <v/>
      </c>
      <c r="O36" s="14">
        <f>ROUND(N36*70%, 0)</f>
        <v/>
      </c>
      <c r="P36" s="14">
        <f>MIN(ROUNDUP(N36*0.2, 0), MAX(0, N36 - O36))</f>
        <v/>
      </c>
      <c r="Q36" s="13">
        <f>IF(C36&gt;20, "Hủy slot (Mưa &gt; 20mm)", "Kích hoạt")</f>
        <v/>
      </c>
      <c r="R36" s="14">
        <f>IF(C36&gt;20, 0, P36)</f>
        <v/>
      </c>
      <c r="S36" s="14">
        <f>IF(C36&gt;20, P36*0.4*Y36, 0)</f>
        <v/>
      </c>
      <c r="T36" s="14">
        <f>MAX(0, J36 - O36 - R36)</f>
        <v/>
      </c>
      <c r="U36" s="14">
        <f>O36 + R36 + T36</f>
        <v/>
      </c>
      <c r="V36" s="14" t="n">
        <v>33</v>
      </c>
      <c r="W36" s="13" t="inlineStr">
        <is>
          <t>2-4</t>
        </is>
      </c>
      <c r="X36" s="14" t="n">
        <v>3</v>
      </c>
      <c r="Y36" s="14">
        <f>IF(OR(B36&gt;=34, F36=1), 11700000, 9000000)</f>
        <v/>
      </c>
      <c r="Z36" s="14" t="n">
        <v>0.02</v>
      </c>
      <c r="AA36" s="14">
        <f>AVERAGE(J33:J35)</f>
        <v/>
      </c>
      <c r="AB36" s="14">
        <f>ABS(J36 - AA36)</f>
        <v/>
      </c>
      <c r="AC36" s="13" t="inlineStr">
        <is>
          <t>Hợp lệ</t>
        </is>
      </c>
      <c r="AD36" s="14">
        <f>IF(AA36="", 0, IF(AA36&gt;J36, (AA36-J36)*2700000, 0))</f>
        <v/>
      </c>
      <c r="AE36" s="14">
        <f>IF(AA36="", 0, IF(J36&gt;AA36, (J36-AA36)*6000000, 0))</f>
        <v/>
      </c>
      <c r="AF36" s="14">
        <f>AD36 + AE36</f>
        <v/>
      </c>
      <c r="AG36" s="14">
        <f>ABS(U36 - J36)</f>
        <v/>
      </c>
      <c r="AH36" s="14">
        <f>IF(U36&gt;J36, (U36-J36)*2700000, 0)</f>
        <v/>
      </c>
      <c r="AI36" s="14">
        <f>IF(J36&gt;U36, (J36-U36)*6000000, 0)</f>
        <v/>
      </c>
      <c r="AJ36" s="14">
        <f>AH36 + AI36 + S36</f>
        <v/>
      </c>
    </row>
    <row r="37">
      <c r="A37" s="13" t="inlineStr">
        <is>
          <t>Ngày 35 (04/06)</t>
        </is>
      </c>
      <c r="B37" s="14" t="n">
        <v>35.8</v>
      </c>
      <c r="C37" s="14" t="n">
        <v>0</v>
      </c>
      <c r="D37" s="14" t="n">
        <v>0.57</v>
      </c>
      <c r="E37" s="14" t="n">
        <v>702.4</v>
      </c>
      <c r="F37" s="14" t="n">
        <v>1</v>
      </c>
      <c r="G37" s="14" t="n">
        <v>721.6</v>
      </c>
      <c r="H37" s="14">
        <f>G37*IF(F37=1, 0.85, 0.8)</f>
        <v/>
      </c>
      <c r="I37" s="13" t="inlineStr">
        <is>
          <t>2-4</t>
        </is>
      </c>
      <c r="J37" s="14">
        <f>ROUNDUP(H37/17.2, 0)</f>
        <v/>
      </c>
      <c r="K37" s="14">
        <f>ROUND(TREND(G$3:G$94, E$3:E$94, E37), 1)</f>
        <v/>
      </c>
      <c r="L37" s="14">
        <f>ROUND(TREND(G$3:G$94, B$3:E$94, B37:E37), 1)</f>
        <v/>
      </c>
      <c r="M37" s="14">
        <f>ROUND(TREND(G$3:G$94, B$3:F$94, B37:F37), 1)</f>
        <v/>
      </c>
      <c r="N37" s="14">
        <f>ROUNDUP(M37*IF(F37=1, 0.85, 0.8)/17.2, 0)</f>
        <v/>
      </c>
      <c r="O37" s="14">
        <f>ROUND(N37*70%, 0)</f>
        <v/>
      </c>
      <c r="P37" s="14">
        <f>MIN(ROUNDUP(N37*0.2, 0), MAX(0, N37 - O37))</f>
        <v/>
      </c>
      <c r="Q37" s="13">
        <f>IF(C37&gt;20, "Hủy slot (Mưa &gt; 20mm)", "Kích hoạt")</f>
        <v/>
      </c>
      <c r="R37" s="14">
        <f>IF(C37&gt;20, 0, P37)</f>
        <v/>
      </c>
      <c r="S37" s="14">
        <f>IF(C37&gt;20, P37*0.4*Y37, 0)</f>
        <v/>
      </c>
      <c r="T37" s="14">
        <f>MAX(0, J37 - O37 - R37)</f>
        <v/>
      </c>
      <c r="U37" s="14">
        <f>O37 + R37 + T37</f>
        <v/>
      </c>
      <c r="V37" s="14" t="n">
        <v>41</v>
      </c>
      <c r="W37" s="13" t="inlineStr">
        <is>
          <t>2-4</t>
        </is>
      </c>
      <c r="X37" s="14" t="n">
        <v>3</v>
      </c>
      <c r="Y37" s="14">
        <f>IF(OR(B37&gt;=34, F37=1), 11700000, 9000000)</f>
        <v/>
      </c>
      <c r="Z37" s="14" t="n">
        <v>0.02</v>
      </c>
      <c r="AA37" s="14">
        <f>AVERAGE(J34:J36)</f>
        <v/>
      </c>
      <c r="AB37" s="14">
        <f>ABS(J37 - AA37)</f>
        <v/>
      </c>
      <c r="AC37" s="13" t="inlineStr">
        <is>
          <t>Hợp lệ</t>
        </is>
      </c>
      <c r="AD37" s="14">
        <f>IF(AA37="", 0, IF(AA37&gt;J37, (AA37-J37)*2700000, 0))</f>
        <v/>
      </c>
      <c r="AE37" s="14">
        <f>IF(AA37="", 0, IF(J37&gt;AA37, (J37-AA37)*6000000, 0))</f>
        <v/>
      </c>
      <c r="AF37" s="14">
        <f>AD37 + AE37</f>
        <v/>
      </c>
      <c r="AG37" s="14">
        <f>ABS(U37 - J37)</f>
        <v/>
      </c>
      <c r="AH37" s="14">
        <f>IF(U37&gt;J37, (U37-J37)*2700000, 0)</f>
        <v/>
      </c>
      <c r="AI37" s="14">
        <f>IF(J37&gt;U37, (J37-U37)*6000000, 0)</f>
        <v/>
      </c>
      <c r="AJ37" s="14">
        <f>AH37 + AI37 + S37</f>
        <v/>
      </c>
    </row>
    <row r="38">
      <c r="A38" s="13" t="inlineStr">
        <is>
          <t>Ngày 36 (05/06)</t>
        </is>
      </c>
      <c r="B38" s="14" t="n">
        <v>35.2</v>
      </c>
      <c r="C38" s="14" t="n">
        <v>15</v>
      </c>
      <c r="D38" s="14" t="n">
        <v>0.58</v>
      </c>
      <c r="E38" s="14" t="n">
        <v>674.7</v>
      </c>
      <c r="F38" s="14" t="n">
        <v>1</v>
      </c>
      <c r="G38" s="14" t="n">
        <v>671.3</v>
      </c>
      <c r="H38" s="14">
        <f>G38*IF(F38=1, 0.85, 0.8)</f>
        <v/>
      </c>
      <c r="I38" s="13" t="inlineStr">
        <is>
          <t>2-4</t>
        </is>
      </c>
      <c r="J38" s="14">
        <f>ROUNDUP(H38/17.2, 0)</f>
        <v/>
      </c>
      <c r="K38" s="14">
        <f>ROUND(TREND(G$3:G$94, E$3:E$94, E38), 1)</f>
        <v/>
      </c>
      <c r="L38" s="14">
        <f>ROUND(TREND(G$3:G$94, B$3:E$94, B38:E38), 1)</f>
        <v/>
      </c>
      <c r="M38" s="14">
        <f>ROUND(TREND(G$3:G$94, B$3:F$94, B38:F38), 1)</f>
        <v/>
      </c>
      <c r="N38" s="14">
        <f>ROUNDUP(M38*IF(F38=1, 0.85, 0.8)/17.2, 0)</f>
        <v/>
      </c>
      <c r="O38" s="14">
        <f>ROUND(N38*70%, 0)</f>
        <v/>
      </c>
      <c r="P38" s="14">
        <f>MIN(ROUNDUP(N38*0.2, 0), MAX(0, N38 - O38))</f>
        <v/>
      </c>
      <c r="Q38" s="13">
        <f>IF(C38&gt;20, "Hủy slot (Mưa &gt; 20mm)", "Kích hoạt")</f>
        <v/>
      </c>
      <c r="R38" s="14">
        <f>IF(C38&gt;20, 0, P38)</f>
        <v/>
      </c>
      <c r="S38" s="14">
        <f>IF(C38&gt;20, P38*0.4*Y38, 0)</f>
        <v/>
      </c>
      <c r="T38" s="14">
        <f>MAX(0, J38 - O38 - R38)</f>
        <v/>
      </c>
      <c r="U38" s="14">
        <f>O38 + R38 + T38</f>
        <v/>
      </c>
      <c r="V38" s="14" t="n">
        <v>38</v>
      </c>
      <c r="W38" s="13" t="inlineStr">
        <is>
          <t>2-4</t>
        </is>
      </c>
      <c r="X38" s="14" t="n">
        <v>3</v>
      </c>
      <c r="Y38" s="14">
        <f>IF(OR(B38&gt;=34, F38=1), 11700000, 9000000)</f>
        <v/>
      </c>
      <c r="Z38" s="14" t="n">
        <v>0.02</v>
      </c>
      <c r="AA38" s="14">
        <f>AVERAGE(J35:J37)</f>
        <v/>
      </c>
      <c r="AB38" s="14">
        <f>ABS(J38 - AA38)</f>
        <v/>
      </c>
      <c r="AC38" s="13" t="inlineStr">
        <is>
          <t>Hợp lệ</t>
        </is>
      </c>
      <c r="AD38" s="14">
        <f>IF(AA38="", 0, IF(AA38&gt;J38, (AA38-J38)*2700000, 0))</f>
        <v/>
      </c>
      <c r="AE38" s="14">
        <f>IF(AA38="", 0, IF(J38&gt;AA38, (J38-AA38)*6000000, 0))</f>
        <v/>
      </c>
      <c r="AF38" s="14">
        <f>AD38 + AE38</f>
        <v/>
      </c>
      <c r="AG38" s="14">
        <f>ABS(U38 - J38)</f>
        <v/>
      </c>
      <c r="AH38" s="14">
        <f>IF(U38&gt;J38, (U38-J38)*2700000, 0)</f>
        <v/>
      </c>
      <c r="AI38" s="14">
        <f>IF(J38&gt;U38, (J38-U38)*6000000, 0)</f>
        <v/>
      </c>
      <c r="AJ38" s="14">
        <f>AH38 + AI38 + S38</f>
        <v/>
      </c>
    </row>
    <row r="39">
      <c r="A39" s="13" t="inlineStr">
        <is>
          <t>Ngày 37 (06/06)</t>
        </is>
      </c>
      <c r="B39" s="14" t="n">
        <v>35.5</v>
      </c>
      <c r="C39" s="14" t="n">
        <v>0</v>
      </c>
      <c r="D39" s="14" t="n">
        <v>0.6</v>
      </c>
      <c r="E39" s="14" t="n">
        <v>619.5</v>
      </c>
      <c r="F39" s="14" t="n">
        <v>0</v>
      </c>
      <c r="G39" s="14" t="n">
        <v>661.3</v>
      </c>
      <c r="H39" s="14">
        <f>G39*IF(F39=1, 0.85, 0.8)</f>
        <v/>
      </c>
      <c r="I39" s="13" t="inlineStr">
        <is>
          <t>2-4</t>
        </is>
      </c>
      <c r="J39" s="14">
        <f>ROUNDUP(H39/17.2, 0)</f>
        <v/>
      </c>
      <c r="K39" s="14">
        <f>ROUND(TREND(G$3:G$94, E$3:E$94, E39), 1)</f>
        <v/>
      </c>
      <c r="L39" s="14">
        <f>ROUND(TREND(G$3:G$94, B$3:E$94, B39:E39), 1)</f>
        <v/>
      </c>
      <c r="M39" s="14">
        <f>ROUND(TREND(G$3:G$94, B$3:F$94, B39:F39), 1)</f>
        <v/>
      </c>
      <c r="N39" s="14">
        <f>ROUNDUP(M39*IF(F39=1, 0.85, 0.8)/17.2, 0)</f>
        <v/>
      </c>
      <c r="O39" s="14">
        <f>ROUND(N39*70%, 0)</f>
        <v/>
      </c>
      <c r="P39" s="14">
        <f>MIN(ROUNDUP(N39*0.2, 0), MAX(0, N39 - O39))</f>
        <v/>
      </c>
      <c r="Q39" s="13">
        <f>IF(C39&gt;20, "Hủy slot (Mưa &gt; 20mm)", "Kích hoạt")</f>
        <v/>
      </c>
      <c r="R39" s="14">
        <f>IF(C39&gt;20, 0, P39)</f>
        <v/>
      </c>
      <c r="S39" s="14">
        <f>IF(C39&gt;20, P39*0.4*Y39, 0)</f>
        <v/>
      </c>
      <c r="T39" s="14">
        <f>MAX(0, J39 - O39 - R39)</f>
        <v/>
      </c>
      <c r="U39" s="14">
        <f>O39 + R39 + T39</f>
        <v/>
      </c>
      <c r="V39" s="14" t="n">
        <v>33</v>
      </c>
      <c r="W39" s="13" t="inlineStr">
        <is>
          <t>2-4</t>
        </is>
      </c>
      <c r="X39" s="14" t="n">
        <v>1</v>
      </c>
      <c r="Y39" s="14">
        <f>IF(OR(B39&gt;=34, F39=1), 11700000, 9000000)</f>
        <v/>
      </c>
      <c r="Z39" s="14" t="n">
        <v>0.02</v>
      </c>
      <c r="AA39" s="14">
        <f>AVERAGE(J36:J38)</f>
        <v/>
      </c>
      <c r="AB39" s="14">
        <f>ABS(J39 - AA39)</f>
        <v/>
      </c>
      <c r="AC39" s="13" t="inlineStr">
        <is>
          <t>Hợp lệ</t>
        </is>
      </c>
      <c r="AD39" s="14">
        <f>IF(AA39="", 0, IF(AA39&gt;J39, (AA39-J39)*2700000, 0))</f>
        <v/>
      </c>
      <c r="AE39" s="14">
        <f>IF(AA39="", 0, IF(J39&gt;AA39, (J39-AA39)*6000000, 0))</f>
        <v/>
      </c>
      <c r="AF39" s="14">
        <f>AD39 + AE39</f>
        <v/>
      </c>
      <c r="AG39" s="14">
        <f>ABS(U39 - J39)</f>
        <v/>
      </c>
      <c r="AH39" s="14">
        <f>IF(U39&gt;J39, (U39-J39)*2700000, 0)</f>
        <v/>
      </c>
      <c r="AI39" s="14">
        <f>IF(J39&gt;U39, (J39-U39)*6000000, 0)</f>
        <v/>
      </c>
      <c r="AJ39" s="14">
        <f>AH39 + AI39 + S39</f>
        <v/>
      </c>
    </row>
    <row r="40">
      <c r="A40" s="13" t="inlineStr">
        <is>
          <t>Ngày 38 (07/06)</t>
        </is>
      </c>
      <c r="B40" s="14" t="n">
        <v>33.5</v>
      </c>
      <c r="C40" s="14" t="n">
        <v>0</v>
      </c>
      <c r="D40" s="14" t="n">
        <v>0.62</v>
      </c>
      <c r="E40" s="14" t="n">
        <v>576.7</v>
      </c>
      <c r="F40" s="14" t="n">
        <v>0</v>
      </c>
      <c r="G40" s="14" t="n">
        <v>639.8</v>
      </c>
      <c r="H40" s="14">
        <f>G40*IF(F40=1, 0.85, 0.8)</f>
        <v/>
      </c>
      <c r="I40" s="13" t="inlineStr">
        <is>
          <t>2-4</t>
        </is>
      </c>
      <c r="J40" s="14">
        <f>ROUNDUP(H40/17.2, 0)</f>
        <v/>
      </c>
      <c r="K40" s="14">
        <f>ROUND(TREND(G$3:G$94, E$3:E$94, E40), 1)</f>
        <v/>
      </c>
      <c r="L40" s="14">
        <f>ROUND(TREND(G$3:G$94, B$3:E$94, B40:E40), 1)</f>
        <v/>
      </c>
      <c r="M40" s="14">
        <f>ROUND(TREND(G$3:G$94, B$3:F$94, B40:F40), 1)</f>
        <v/>
      </c>
      <c r="N40" s="14">
        <f>ROUNDUP(M40*IF(F40=1, 0.85, 0.8)/17.2, 0)</f>
        <v/>
      </c>
      <c r="O40" s="14">
        <f>ROUND(N40*70%, 0)</f>
        <v/>
      </c>
      <c r="P40" s="14">
        <f>MIN(ROUNDUP(N40*0.2, 0), MAX(0, N40 - O40))</f>
        <v/>
      </c>
      <c r="Q40" s="13">
        <f>IF(C40&gt;20, "Hủy slot (Mưa &gt; 20mm)", "Kích hoạt")</f>
        <v/>
      </c>
      <c r="R40" s="14">
        <f>IF(C40&gt;20, 0, P40)</f>
        <v/>
      </c>
      <c r="S40" s="14">
        <f>IF(C40&gt;20, P40*0.4*Y40, 0)</f>
        <v/>
      </c>
      <c r="T40" s="14">
        <f>MAX(0, J40 - O40 - R40)</f>
        <v/>
      </c>
      <c r="U40" s="14">
        <f>O40 + R40 + T40</f>
        <v/>
      </c>
      <c r="V40" s="14" t="n">
        <v>35</v>
      </c>
      <c r="W40" s="13" t="inlineStr">
        <is>
          <t>2-4</t>
        </is>
      </c>
      <c r="X40" s="14" t="n">
        <v>2</v>
      </c>
      <c r="Y40" s="14">
        <f>IF(OR(B40&gt;=34, F40=1), 11700000, 9000000)</f>
        <v/>
      </c>
      <c r="Z40" s="14" t="n">
        <v>0.02</v>
      </c>
      <c r="AA40" s="14">
        <f>AVERAGE(J37:J39)</f>
        <v/>
      </c>
      <c r="AB40" s="14">
        <f>ABS(J40 - AA40)</f>
        <v/>
      </c>
      <c r="AC40" s="13" t="inlineStr">
        <is>
          <t>Hợp lệ</t>
        </is>
      </c>
      <c r="AD40" s="14">
        <f>IF(AA40="", 0, IF(AA40&gt;J40, (AA40-J40)*2700000, 0))</f>
        <v/>
      </c>
      <c r="AE40" s="14">
        <f>IF(AA40="", 0, IF(J40&gt;AA40, (J40-AA40)*6000000, 0))</f>
        <v/>
      </c>
      <c r="AF40" s="14">
        <f>AD40 + AE40</f>
        <v/>
      </c>
      <c r="AG40" s="14">
        <f>ABS(U40 - J40)</f>
        <v/>
      </c>
      <c r="AH40" s="14">
        <f>IF(U40&gt;J40, (U40-J40)*2700000, 0)</f>
        <v/>
      </c>
      <c r="AI40" s="14">
        <f>IF(J40&gt;U40, (J40-U40)*6000000, 0)</f>
        <v/>
      </c>
      <c r="AJ40" s="14">
        <f>AH40 + AI40 + S40</f>
        <v/>
      </c>
    </row>
    <row r="41">
      <c r="A41" s="13" t="inlineStr">
        <is>
          <t>Ngày 39 (08/06)</t>
        </is>
      </c>
      <c r="B41" s="14" t="n">
        <v>33.2</v>
      </c>
      <c r="C41" s="14" t="n">
        <v>0</v>
      </c>
      <c r="D41" s="14" t="n">
        <v>0.63</v>
      </c>
      <c r="E41" s="14" t="n">
        <v>618.6</v>
      </c>
      <c r="F41" s="14" t="n">
        <v>0</v>
      </c>
      <c r="G41" s="14" t="n">
        <v>645.1</v>
      </c>
      <c r="H41" s="14">
        <f>G41*IF(F41=1, 0.85, 0.8)</f>
        <v/>
      </c>
      <c r="I41" s="13" t="inlineStr">
        <is>
          <t>2-4</t>
        </is>
      </c>
      <c r="J41" s="14">
        <f>ROUNDUP(H41/17.2, 0)</f>
        <v/>
      </c>
      <c r="K41" s="14">
        <f>ROUND(TREND(G$3:G$94, E$3:E$94, E41), 1)</f>
        <v/>
      </c>
      <c r="L41" s="14">
        <f>ROUND(TREND(G$3:G$94, B$3:E$94, B41:E41), 1)</f>
        <v/>
      </c>
      <c r="M41" s="14">
        <f>ROUND(TREND(G$3:G$94, B$3:F$94, B41:F41), 1)</f>
        <v/>
      </c>
      <c r="N41" s="14">
        <f>ROUNDUP(M41*IF(F41=1, 0.85, 0.8)/17.2, 0)</f>
        <v/>
      </c>
      <c r="O41" s="14">
        <f>ROUND(N41*70%, 0)</f>
        <v/>
      </c>
      <c r="P41" s="14">
        <f>MIN(ROUNDUP(N41*0.2, 0), MAX(0, N41 - O41))</f>
        <v/>
      </c>
      <c r="Q41" s="13">
        <f>IF(C41&gt;20, "Hủy slot (Mưa &gt; 20mm)", "Kích hoạt")</f>
        <v/>
      </c>
      <c r="R41" s="14">
        <f>IF(C41&gt;20, 0, P41)</f>
        <v/>
      </c>
      <c r="S41" s="14">
        <f>IF(C41&gt;20, P41*0.4*Y41, 0)</f>
        <v/>
      </c>
      <c r="T41" s="14">
        <f>MAX(0, J41 - O41 - R41)</f>
        <v/>
      </c>
      <c r="U41" s="14">
        <f>O41 + R41 + T41</f>
        <v/>
      </c>
      <c r="V41" s="14" t="n">
        <v>36</v>
      </c>
      <c r="W41" s="13" t="inlineStr">
        <is>
          <t>2-4</t>
        </is>
      </c>
      <c r="X41" s="14" t="n">
        <v>2</v>
      </c>
      <c r="Y41" s="14">
        <f>IF(OR(B41&gt;=34, F41=1), 11700000, 9000000)</f>
        <v/>
      </c>
      <c r="Z41" s="14" t="n">
        <v>0.02</v>
      </c>
      <c r="AA41" s="14">
        <f>AVERAGE(J38:J40)</f>
        <v/>
      </c>
      <c r="AB41" s="14">
        <f>ABS(J41 - AA41)</f>
        <v/>
      </c>
      <c r="AC41" s="13" t="inlineStr">
        <is>
          <t>Hợp lệ</t>
        </is>
      </c>
      <c r="AD41" s="14">
        <f>IF(AA41="", 0, IF(AA41&gt;J41, (AA41-J41)*2700000, 0))</f>
        <v/>
      </c>
      <c r="AE41" s="14">
        <f>IF(AA41="", 0, IF(J41&gt;AA41, (J41-AA41)*6000000, 0))</f>
        <v/>
      </c>
      <c r="AF41" s="14">
        <f>AD41 + AE41</f>
        <v/>
      </c>
      <c r="AG41" s="14">
        <f>ABS(U41 - J41)</f>
        <v/>
      </c>
      <c r="AH41" s="14">
        <f>IF(U41&gt;J41, (U41-J41)*2700000, 0)</f>
        <v/>
      </c>
      <c r="AI41" s="14">
        <f>IF(J41&gt;U41, (J41-U41)*6000000, 0)</f>
        <v/>
      </c>
      <c r="AJ41" s="14">
        <f>AH41 + AI41 + S41</f>
        <v/>
      </c>
    </row>
    <row r="42">
      <c r="A42" s="13" t="inlineStr">
        <is>
          <t>Ngày 40 (09/06)</t>
        </is>
      </c>
      <c r="B42" s="14" t="n">
        <v>35.9</v>
      </c>
      <c r="C42" s="14" t="n">
        <v>0</v>
      </c>
      <c r="D42" s="14" t="n">
        <v>0.65</v>
      </c>
      <c r="E42" s="14" t="n">
        <v>612.3</v>
      </c>
      <c r="F42" s="14" t="n">
        <v>0</v>
      </c>
      <c r="G42" s="14" t="n">
        <v>702.7</v>
      </c>
      <c r="H42" s="14">
        <f>G42*IF(F42=1, 0.85, 0.8)</f>
        <v/>
      </c>
      <c r="I42" s="13" t="inlineStr">
        <is>
          <t>2-4</t>
        </is>
      </c>
      <c r="J42" s="14">
        <f>ROUNDUP(H42/17.2, 0)</f>
        <v/>
      </c>
      <c r="K42" s="14">
        <f>ROUND(TREND(G$3:G$94, E$3:E$94, E42), 1)</f>
        <v/>
      </c>
      <c r="L42" s="14">
        <f>ROUND(TREND(G$3:G$94, B$3:E$94, B42:E42), 1)</f>
        <v/>
      </c>
      <c r="M42" s="14">
        <f>ROUND(TREND(G$3:G$94, B$3:F$94, B42:F42), 1)</f>
        <v/>
      </c>
      <c r="N42" s="14">
        <f>ROUNDUP(M42*IF(F42=1, 0.85, 0.8)/17.2, 0)</f>
        <v/>
      </c>
      <c r="O42" s="14">
        <f>ROUND(N42*70%, 0)</f>
        <v/>
      </c>
      <c r="P42" s="14">
        <f>MIN(ROUNDUP(N42*0.2, 0), MAX(0, N42 - O42))</f>
        <v/>
      </c>
      <c r="Q42" s="13">
        <f>IF(C42&gt;20, "Hủy slot (Mưa &gt; 20mm)", "Kích hoạt")</f>
        <v/>
      </c>
      <c r="R42" s="14">
        <f>IF(C42&gt;20, 0, P42)</f>
        <v/>
      </c>
      <c r="S42" s="14">
        <f>IF(C42&gt;20, P42*0.4*Y42, 0)</f>
        <v/>
      </c>
      <c r="T42" s="14">
        <f>MAX(0, J42 - O42 - R42)</f>
        <v/>
      </c>
      <c r="U42" s="14">
        <f>O42 + R42 + T42</f>
        <v/>
      </c>
      <c r="V42" s="14" t="n">
        <v>36</v>
      </c>
      <c r="W42" s="13" t="inlineStr">
        <is>
          <t>2-4</t>
        </is>
      </c>
      <c r="X42" s="14" t="n">
        <v>3</v>
      </c>
      <c r="Y42" s="14">
        <f>IF(OR(B42&gt;=34, F42=1), 11700000, 9000000)</f>
        <v/>
      </c>
      <c r="Z42" s="14" t="n">
        <v>0.02</v>
      </c>
      <c r="AA42" s="14">
        <f>AVERAGE(J39:J41)</f>
        <v/>
      </c>
      <c r="AB42" s="14">
        <f>ABS(J42 - AA42)</f>
        <v/>
      </c>
      <c r="AC42" s="13" t="inlineStr">
        <is>
          <t>Hợp lệ</t>
        </is>
      </c>
      <c r="AD42" s="14">
        <f>IF(AA42="", 0, IF(AA42&gt;J42, (AA42-J42)*2700000, 0))</f>
        <v/>
      </c>
      <c r="AE42" s="14">
        <f>IF(AA42="", 0, IF(J42&gt;AA42, (J42-AA42)*6000000, 0))</f>
        <v/>
      </c>
      <c r="AF42" s="14">
        <f>AD42 + AE42</f>
        <v/>
      </c>
      <c r="AG42" s="14">
        <f>ABS(U42 - J42)</f>
        <v/>
      </c>
      <c r="AH42" s="14">
        <f>IF(U42&gt;J42, (U42-J42)*2700000, 0)</f>
        <v/>
      </c>
      <c r="AI42" s="14">
        <f>IF(J42&gt;U42, (J42-U42)*6000000, 0)</f>
        <v/>
      </c>
      <c r="AJ42" s="14">
        <f>AH42 + AI42 + S42</f>
        <v/>
      </c>
    </row>
    <row r="43">
      <c r="A43" s="13" t="inlineStr">
        <is>
          <t>Ngày 41 (10/06)</t>
        </is>
      </c>
      <c r="B43" s="14" t="n">
        <v>37.7</v>
      </c>
      <c r="C43" s="14" t="n">
        <v>0</v>
      </c>
      <c r="D43" s="14" t="n">
        <v>0.67</v>
      </c>
      <c r="E43" s="14" t="n">
        <v>628.4</v>
      </c>
      <c r="F43" s="14" t="n">
        <v>0</v>
      </c>
      <c r="G43" s="14" t="n">
        <v>754.5</v>
      </c>
      <c r="H43" s="14">
        <f>G43*IF(F43=1, 0.85, 0.8)</f>
        <v/>
      </c>
      <c r="I43" s="13" t="inlineStr">
        <is>
          <t>2-4</t>
        </is>
      </c>
      <c r="J43" s="14">
        <f>ROUNDUP(H43/17.2, 0)</f>
        <v/>
      </c>
      <c r="K43" s="14">
        <f>ROUND(TREND(G$3:G$94, E$3:E$94, E43), 1)</f>
        <v/>
      </c>
      <c r="L43" s="14">
        <f>ROUND(TREND(G$3:G$94, B$3:E$94, B43:E43), 1)</f>
        <v/>
      </c>
      <c r="M43" s="14">
        <f>ROUND(TREND(G$3:G$94, B$3:F$94, B43:F43), 1)</f>
        <v/>
      </c>
      <c r="N43" s="14">
        <f>ROUNDUP(M43*IF(F43=1, 0.85, 0.8)/17.2, 0)</f>
        <v/>
      </c>
      <c r="O43" s="14">
        <f>ROUND(N43*70%, 0)</f>
        <v/>
      </c>
      <c r="P43" s="14">
        <f>MIN(ROUNDUP(N43*0.2, 0), MAX(0, N43 - O43))</f>
        <v/>
      </c>
      <c r="Q43" s="13">
        <f>IF(C43&gt;20, "Hủy slot (Mưa &gt; 20mm)", "Kích hoạt")</f>
        <v/>
      </c>
      <c r="R43" s="14">
        <f>IF(C43&gt;20, 0, P43)</f>
        <v/>
      </c>
      <c r="S43" s="14">
        <f>IF(C43&gt;20, P43*0.4*Y43, 0)</f>
        <v/>
      </c>
      <c r="T43" s="14">
        <f>MAX(0, J43 - O43 - R43)</f>
        <v/>
      </c>
      <c r="U43" s="14">
        <f>O43 + R43 + T43</f>
        <v/>
      </c>
      <c r="V43" s="14" t="n">
        <v>39</v>
      </c>
      <c r="W43" s="13" t="inlineStr">
        <is>
          <t>2-4</t>
        </is>
      </c>
      <c r="X43" s="14" t="n">
        <v>2</v>
      </c>
      <c r="Y43" s="14">
        <f>IF(OR(B43&gt;=34, F43=1), 11700000, 9000000)</f>
        <v/>
      </c>
      <c r="Z43" s="14" t="n">
        <v>0.02</v>
      </c>
      <c r="AA43" s="14">
        <f>AVERAGE(J40:J42)</f>
        <v/>
      </c>
      <c r="AB43" s="14">
        <f>ABS(J43 - AA43)</f>
        <v/>
      </c>
      <c r="AC43" s="13" t="inlineStr">
        <is>
          <t>Hợp lệ</t>
        </is>
      </c>
      <c r="AD43" s="14">
        <f>IF(AA43="", 0, IF(AA43&gt;J43, (AA43-J43)*2700000, 0))</f>
        <v/>
      </c>
      <c r="AE43" s="14">
        <f>IF(AA43="", 0, IF(J43&gt;AA43, (J43-AA43)*6000000, 0))</f>
        <v/>
      </c>
      <c r="AF43" s="14">
        <f>AD43 + AE43</f>
        <v/>
      </c>
      <c r="AG43" s="14">
        <f>ABS(U43 - J43)</f>
        <v/>
      </c>
      <c r="AH43" s="14">
        <f>IF(U43&gt;J43, (U43-J43)*2700000, 0)</f>
        <v/>
      </c>
      <c r="AI43" s="14">
        <f>IF(J43&gt;U43, (J43-U43)*6000000, 0)</f>
        <v/>
      </c>
      <c r="AJ43" s="14">
        <f>AH43 + AI43 + S43</f>
        <v/>
      </c>
    </row>
    <row r="44">
      <c r="A44" s="13" t="inlineStr">
        <is>
          <t>Ngày 42 (11/06)</t>
        </is>
      </c>
      <c r="B44" s="14" t="n">
        <v>38</v>
      </c>
      <c r="C44" s="14" t="n">
        <v>25</v>
      </c>
      <c r="D44" s="14" t="n">
        <v>0.68</v>
      </c>
      <c r="E44" s="14" t="n">
        <v>682.1</v>
      </c>
      <c r="F44" s="14" t="n">
        <v>1</v>
      </c>
      <c r="G44" s="14" t="n">
        <v>389.2</v>
      </c>
      <c r="H44" s="14">
        <f>G44*IF(F44=1, 0.85, 0.8)</f>
        <v/>
      </c>
      <c r="I44" s="13" t="inlineStr">
        <is>
          <t>2-4</t>
        </is>
      </c>
      <c r="J44" s="14">
        <f>ROUNDUP(H44/17.2, 0)</f>
        <v/>
      </c>
      <c r="K44" s="14">
        <f>ROUND(TREND(G$3:G$94, E$3:E$94, E44), 1)</f>
        <v/>
      </c>
      <c r="L44" s="14">
        <f>ROUND(TREND(G$3:G$94, B$3:E$94, B44:E44), 1)</f>
        <v/>
      </c>
      <c r="M44" s="14">
        <f>ROUND(TREND(G$3:G$94, B$3:F$94, B44:F44), 1)</f>
        <v/>
      </c>
      <c r="N44" s="14">
        <f>ROUNDUP(M44*IF(F44=1, 0.85, 0.8)/17.2, 0)</f>
        <v/>
      </c>
      <c r="O44" s="14">
        <f>ROUND(N44*70%, 0)</f>
        <v/>
      </c>
      <c r="P44" s="14">
        <f>MIN(ROUNDUP(N44*0.2, 0), MAX(0, N44 - O44))</f>
        <v/>
      </c>
      <c r="Q44" s="13">
        <f>IF(C44&gt;20, "Hủy slot (Mưa &gt; 20mm)", "Kích hoạt")</f>
        <v/>
      </c>
      <c r="R44" s="14">
        <f>IF(C44&gt;20, 0, P44)</f>
        <v/>
      </c>
      <c r="S44" s="14">
        <f>IF(C44&gt;20, P44*0.4*Y44, 0)</f>
        <v/>
      </c>
      <c r="T44" s="14">
        <f>MAX(0, J44 - O44 - R44)</f>
        <v/>
      </c>
      <c r="U44" s="14">
        <f>O44 + R44 + T44</f>
        <v/>
      </c>
      <c r="V44" s="14" t="n">
        <v>25</v>
      </c>
      <c r="W44" s="13" t="inlineStr">
        <is>
          <t>2-4</t>
        </is>
      </c>
      <c r="X44" s="14" t="n">
        <v>3</v>
      </c>
      <c r="Y44" s="14">
        <f>IF(OR(B44&gt;=34, F44=1), 11700000, 9000000)</f>
        <v/>
      </c>
      <c r="Z44" s="14" t="n">
        <v>0.02</v>
      </c>
      <c r="AA44" s="14">
        <f>AVERAGE(J41:J43)</f>
        <v/>
      </c>
      <c r="AB44" s="14">
        <f>ABS(J44 - AA44)</f>
        <v/>
      </c>
      <c r="AC44" s="13" t="inlineStr">
        <is>
          <t>Hợp lệ</t>
        </is>
      </c>
      <c r="AD44" s="14">
        <f>IF(AA44="", 0, IF(AA44&gt;J44, (AA44-J44)*2700000, 0))</f>
        <v/>
      </c>
      <c r="AE44" s="14">
        <f>IF(AA44="", 0, IF(J44&gt;AA44, (J44-AA44)*6000000, 0))</f>
        <v/>
      </c>
      <c r="AF44" s="14">
        <f>AD44 + AE44</f>
        <v/>
      </c>
      <c r="AG44" s="14">
        <f>ABS(U44 - J44)</f>
        <v/>
      </c>
      <c r="AH44" s="14">
        <f>IF(U44&gt;J44, (U44-J44)*2700000, 0)</f>
        <v/>
      </c>
      <c r="AI44" s="14">
        <f>IF(J44&gt;U44, (J44-U44)*6000000, 0)</f>
        <v/>
      </c>
      <c r="AJ44" s="14">
        <f>AH44 + AI44 + S44</f>
        <v/>
      </c>
    </row>
    <row r="45">
      <c r="A45" s="13" t="inlineStr">
        <is>
          <t>Ngày 43 (12/06)</t>
        </is>
      </c>
      <c r="B45" s="14" t="n">
        <v>36.1</v>
      </c>
      <c r="C45" s="14" t="n">
        <v>0</v>
      </c>
      <c r="D45" s="14" t="n">
        <v>0.7</v>
      </c>
      <c r="E45" s="14" t="n">
        <v>789</v>
      </c>
      <c r="F45" s="14" t="n">
        <v>1</v>
      </c>
      <c r="G45" s="14" t="n">
        <v>791.2</v>
      </c>
      <c r="H45" s="14">
        <f>G45*IF(F45=1, 0.85, 0.8)</f>
        <v/>
      </c>
      <c r="I45" s="13" t="inlineStr">
        <is>
          <t>2-4</t>
        </is>
      </c>
      <c r="J45" s="14">
        <f>ROUNDUP(H45/17.2, 0)</f>
        <v/>
      </c>
      <c r="K45" s="14">
        <f>ROUND(TREND(G$3:G$94, E$3:E$94, E45), 1)</f>
        <v/>
      </c>
      <c r="L45" s="14">
        <f>ROUND(TREND(G$3:G$94, B$3:E$94, B45:E45), 1)</f>
        <v/>
      </c>
      <c r="M45" s="14">
        <f>ROUND(TREND(G$3:G$94, B$3:F$94, B45:F45), 1)</f>
        <v/>
      </c>
      <c r="N45" s="14">
        <f>ROUNDUP(M45*IF(F45=1, 0.85, 0.8)/17.2, 0)</f>
        <v/>
      </c>
      <c r="O45" s="14">
        <f>ROUND(N45*70%, 0)</f>
        <v/>
      </c>
      <c r="P45" s="14">
        <f>MIN(ROUNDUP(N45*0.2, 0), MAX(0, N45 - O45))</f>
        <v/>
      </c>
      <c r="Q45" s="13">
        <f>IF(C45&gt;20, "Hủy slot (Mưa &gt; 20mm)", "Kích hoạt")</f>
        <v/>
      </c>
      <c r="R45" s="14">
        <f>IF(C45&gt;20, 0, P45)</f>
        <v/>
      </c>
      <c r="S45" s="14">
        <f>IF(C45&gt;20, P45*0.4*Y45, 0)</f>
        <v/>
      </c>
      <c r="T45" s="14">
        <f>MAX(0, J45 - O45 - R45)</f>
        <v/>
      </c>
      <c r="U45" s="14">
        <f>O45 + R45 + T45</f>
        <v/>
      </c>
      <c r="V45" s="14" t="n">
        <v>45</v>
      </c>
      <c r="W45" s="13" t="inlineStr">
        <is>
          <t>2-4</t>
        </is>
      </c>
      <c r="X45" s="14" t="n">
        <v>2</v>
      </c>
      <c r="Y45" s="14">
        <f>IF(OR(B45&gt;=34, F45=1), 11700000, 9000000)</f>
        <v/>
      </c>
      <c r="Z45" s="14" t="n">
        <v>0.02</v>
      </c>
      <c r="AA45" s="14">
        <f>AVERAGE(J42:J44)</f>
        <v/>
      </c>
      <c r="AB45" s="14">
        <f>ABS(J45 - AA45)</f>
        <v/>
      </c>
      <c r="AC45" s="13" t="inlineStr">
        <is>
          <t>Hợp lệ</t>
        </is>
      </c>
      <c r="AD45" s="14">
        <f>IF(AA45="", 0, IF(AA45&gt;J45, (AA45-J45)*2700000, 0))</f>
        <v/>
      </c>
      <c r="AE45" s="14">
        <f>IF(AA45="", 0, IF(J45&gt;AA45, (J45-AA45)*6000000, 0))</f>
        <v/>
      </c>
      <c r="AF45" s="14">
        <f>AD45 + AE45</f>
        <v/>
      </c>
      <c r="AG45" s="14">
        <f>ABS(U45 - J45)</f>
        <v/>
      </c>
      <c r="AH45" s="14">
        <f>IF(U45&gt;J45, (U45-J45)*2700000, 0)</f>
        <v/>
      </c>
      <c r="AI45" s="14">
        <f>IF(J45&gt;U45, (J45-U45)*6000000, 0)</f>
        <v/>
      </c>
      <c r="AJ45" s="14">
        <f>AH45 + AI45 + S45</f>
        <v/>
      </c>
    </row>
    <row r="46">
      <c r="A46" s="13" t="inlineStr">
        <is>
          <t>Ngày 44 (13/06)</t>
        </is>
      </c>
      <c r="B46" s="14" t="n">
        <v>34.7</v>
      </c>
      <c r="C46" s="14" t="n">
        <v>0</v>
      </c>
      <c r="D46" s="14" t="n">
        <v>0.72</v>
      </c>
      <c r="E46" s="14" t="n">
        <v>683.4</v>
      </c>
      <c r="F46" s="14" t="n">
        <v>0</v>
      </c>
      <c r="G46" s="14" t="n">
        <v>652.3</v>
      </c>
      <c r="H46" s="14">
        <f>G46*IF(F46=1, 0.85, 0.8)</f>
        <v/>
      </c>
      <c r="I46" s="13" t="inlineStr">
        <is>
          <t>2-4</t>
        </is>
      </c>
      <c r="J46" s="14">
        <f>ROUNDUP(H46/17.2, 0)</f>
        <v/>
      </c>
      <c r="K46" s="14">
        <f>ROUND(TREND(G$3:G$94, E$3:E$94, E46), 1)</f>
        <v/>
      </c>
      <c r="L46" s="14">
        <f>ROUND(TREND(G$3:G$94, B$3:E$94, B46:E46), 1)</f>
        <v/>
      </c>
      <c r="M46" s="14">
        <f>ROUND(TREND(G$3:G$94, B$3:F$94, B46:F46), 1)</f>
        <v/>
      </c>
      <c r="N46" s="14">
        <f>ROUNDUP(M46*IF(F46=1, 0.85, 0.8)/17.2, 0)</f>
        <v/>
      </c>
      <c r="O46" s="14">
        <f>ROUND(N46*70%, 0)</f>
        <v/>
      </c>
      <c r="P46" s="14">
        <f>MIN(ROUNDUP(N46*0.2, 0), MAX(0, N46 - O46))</f>
        <v/>
      </c>
      <c r="Q46" s="13">
        <f>IF(C46&gt;20, "Hủy slot (Mưa &gt; 20mm)", "Kích hoạt")</f>
        <v/>
      </c>
      <c r="R46" s="14">
        <f>IF(C46&gt;20, 0, P46)</f>
        <v/>
      </c>
      <c r="S46" s="14">
        <f>IF(C46&gt;20, P46*0.4*Y46, 0)</f>
        <v/>
      </c>
      <c r="T46" s="14">
        <f>MAX(0, J46 - O46 - R46)</f>
        <v/>
      </c>
      <c r="U46" s="14">
        <f>O46 + R46 + T46</f>
        <v/>
      </c>
      <c r="V46" s="14" t="n">
        <v>34</v>
      </c>
      <c r="W46" s="13" t="inlineStr">
        <is>
          <t>2-4</t>
        </is>
      </c>
      <c r="X46" s="14" t="n">
        <v>1</v>
      </c>
      <c r="Y46" s="14">
        <f>IF(OR(B46&gt;=34, F46=1), 11700000, 9000000)</f>
        <v/>
      </c>
      <c r="Z46" s="14" t="n">
        <v>0.02</v>
      </c>
      <c r="AA46" s="14">
        <f>AVERAGE(J43:J45)</f>
        <v/>
      </c>
      <c r="AB46" s="14">
        <f>ABS(J46 - AA46)</f>
        <v/>
      </c>
      <c r="AC46" s="13" t="inlineStr">
        <is>
          <t>Hợp lệ</t>
        </is>
      </c>
      <c r="AD46" s="14">
        <f>IF(AA46="", 0, IF(AA46&gt;J46, (AA46-J46)*2700000, 0))</f>
        <v/>
      </c>
      <c r="AE46" s="14">
        <f>IF(AA46="", 0, IF(J46&gt;AA46, (J46-AA46)*6000000, 0))</f>
        <v/>
      </c>
      <c r="AF46" s="14">
        <f>AD46 + AE46</f>
        <v/>
      </c>
      <c r="AG46" s="14">
        <f>ABS(U46 - J46)</f>
        <v/>
      </c>
      <c r="AH46" s="14">
        <f>IF(U46&gt;J46, (U46-J46)*2700000, 0)</f>
        <v/>
      </c>
      <c r="AI46" s="14">
        <f>IF(J46&gt;U46, (J46-U46)*6000000, 0)</f>
        <v/>
      </c>
      <c r="AJ46" s="14">
        <f>AH46 + AI46 + S46</f>
        <v/>
      </c>
    </row>
    <row r="47">
      <c r="A47" s="13" t="inlineStr">
        <is>
          <t>Ngày 45 (14/06)</t>
        </is>
      </c>
      <c r="B47" s="14" t="n">
        <v>37.8</v>
      </c>
      <c r="C47" s="14" t="n">
        <v>0</v>
      </c>
      <c r="D47" s="14" t="n">
        <v>0.73</v>
      </c>
      <c r="E47" s="14" t="n">
        <v>710.8</v>
      </c>
      <c r="F47" s="14" t="n">
        <v>0</v>
      </c>
      <c r="G47" s="14" t="n">
        <v>735.9</v>
      </c>
      <c r="H47" s="14">
        <f>G47*IF(F47=1, 0.85, 0.8)</f>
        <v/>
      </c>
      <c r="I47" s="13" t="inlineStr">
        <is>
          <t>2-4</t>
        </is>
      </c>
      <c r="J47" s="14">
        <f>ROUNDUP(H47/17.2, 0)</f>
        <v/>
      </c>
      <c r="K47" s="14">
        <f>ROUND(TREND(G$3:G$94, E$3:E$94, E47), 1)</f>
        <v/>
      </c>
      <c r="L47" s="14">
        <f>ROUND(TREND(G$3:G$94, B$3:E$94, B47:E47), 1)</f>
        <v/>
      </c>
      <c r="M47" s="14">
        <f>ROUND(TREND(G$3:G$94, B$3:F$94, B47:F47), 1)</f>
        <v/>
      </c>
      <c r="N47" s="14">
        <f>ROUNDUP(M47*IF(F47=1, 0.85, 0.8)/17.2, 0)</f>
        <v/>
      </c>
      <c r="O47" s="14">
        <f>ROUND(N47*70%, 0)</f>
        <v/>
      </c>
      <c r="P47" s="14">
        <f>MIN(ROUNDUP(N47*0.2, 0), MAX(0, N47 - O47))</f>
        <v/>
      </c>
      <c r="Q47" s="13">
        <f>IF(C47&gt;20, "Hủy slot (Mưa &gt; 20mm)", "Kích hoạt")</f>
        <v/>
      </c>
      <c r="R47" s="14">
        <f>IF(C47&gt;20, 0, P47)</f>
        <v/>
      </c>
      <c r="S47" s="14">
        <f>IF(C47&gt;20, P47*0.4*Y47, 0)</f>
        <v/>
      </c>
      <c r="T47" s="14">
        <f>MAX(0, J47 - O47 - R47)</f>
        <v/>
      </c>
      <c r="U47" s="14">
        <f>O47 + R47 + T47</f>
        <v/>
      </c>
      <c r="V47" s="14" t="n">
        <v>38</v>
      </c>
      <c r="W47" s="13" t="inlineStr">
        <is>
          <t>2-4</t>
        </is>
      </c>
      <c r="X47" s="14" t="n">
        <v>1</v>
      </c>
      <c r="Y47" s="14">
        <f>IF(OR(B47&gt;=34, F47=1), 11700000, 9000000)</f>
        <v/>
      </c>
      <c r="Z47" s="14" t="n">
        <v>0.02</v>
      </c>
      <c r="AA47" s="14">
        <f>AVERAGE(J44:J46)</f>
        <v/>
      </c>
      <c r="AB47" s="14">
        <f>ABS(J47 - AA47)</f>
        <v/>
      </c>
      <c r="AC47" s="13" t="inlineStr">
        <is>
          <t>Hợp lệ</t>
        </is>
      </c>
      <c r="AD47" s="14">
        <f>IF(AA47="", 0, IF(AA47&gt;J47, (AA47-J47)*2700000, 0))</f>
        <v/>
      </c>
      <c r="AE47" s="14">
        <f>IF(AA47="", 0, IF(J47&gt;AA47, (J47-AA47)*6000000, 0))</f>
        <v/>
      </c>
      <c r="AF47" s="14">
        <f>AD47 + AE47</f>
        <v/>
      </c>
      <c r="AG47" s="14">
        <f>ABS(U47 - J47)</f>
        <v/>
      </c>
      <c r="AH47" s="14">
        <f>IF(U47&gt;J47, (U47-J47)*2700000, 0)</f>
        <v/>
      </c>
      <c r="AI47" s="14">
        <f>IF(J47&gt;U47, (J47-U47)*6000000, 0)</f>
        <v/>
      </c>
      <c r="AJ47" s="14">
        <f>AH47 + AI47 + S47</f>
        <v/>
      </c>
    </row>
    <row r="48">
      <c r="A48" s="13" t="inlineStr">
        <is>
          <t>Ngày 46 (15/06)</t>
        </is>
      </c>
      <c r="B48" s="14" t="n">
        <v>34.3</v>
      </c>
      <c r="C48" s="14" t="n">
        <v>0</v>
      </c>
      <c r="D48" s="14" t="n">
        <v>0.75</v>
      </c>
      <c r="E48" s="14" t="n">
        <v>741</v>
      </c>
      <c r="F48" s="14" t="n">
        <v>0</v>
      </c>
      <c r="G48" s="14" t="n">
        <v>691.6</v>
      </c>
      <c r="H48" s="14">
        <f>G48*IF(F48=1, 0.85, 0.8)</f>
        <v/>
      </c>
      <c r="I48" s="13" t="inlineStr">
        <is>
          <t>2-4</t>
        </is>
      </c>
      <c r="J48" s="14">
        <f>ROUNDUP(H48/17.2, 0)</f>
        <v/>
      </c>
      <c r="K48" s="14">
        <f>ROUND(TREND(G$3:G$94, E$3:E$94, E48), 1)</f>
        <v/>
      </c>
      <c r="L48" s="14">
        <f>ROUND(TREND(G$3:G$94, B$3:E$94, B48:E48), 1)</f>
        <v/>
      </c>
      <c r="M48" s="14">
        <f>ROUND(TREND(G$3:G$94, B$3:F$94, B48:F48), 1)</f>
        <v/>
      </c>
      <c r="N48" s="14">
        <f>ROUNDUP(M48*IF(F48=1, 0.85, 0.8)/17.2, 0)</f>
        <v/>
      </c>
      <c r="O48" s="14">
        <f>ROUND(N48*70%, 0)</f>
        <v/>
      </c>
      <c r="P48" s="14">
        <f>MIN(ROUNDUP(N48*0.2, 0), MAX(0, N48 - O48))</f>
        <v/>
      </c>
      <c r="Q48" s="13">
        <f>IF(C48&gt;20, "Hủy slot (Mưa &gt; 20mm)", "Kích hoạt")</f>
        <v/>
      </c>
      <c r="R48" s="14">
        <f>IF(C48&gt;20, 0, P48)</f>
        <v/>
      </c>
      <c r="S48" s="14">
        <f>IF(C48&gt;20, P48*0.4*Y48, 0)</f>
        <v/>
      </c>
      <c r="T48" s="14">
        <f>MAX(0, J48 - O48 - R48)</f>
        <v/>
      </c>
      <c r="U48" s="14">
        <f>O48 + R48 + T48</f>
        <v/>
      </c>
      <c r="V48" s="14" t="n">
        <v>38</v>
      </c>
      <c r="W48" s="13" t="inlineStr">
        <is>
          <t>2-4</t>
        </is>
      </c>
      <c r="X48" s="14" t="n">
        <v>3</v>
      </c>
      <c r="Y48" s="14">
        <f>IF(OR(B48&gt;=34, F48=1), 11700000, 9000000)</f>
        <v/>
      </c>
      <c r="Z48" s="14" t="n">
        <v>0.02</v>
      </c>
      <c r="AA48" s="14">
        <f>AVERAGE(J45:J47)</f>
        <v/>
      </c>
      <c r="AB48" s="14">
        <f>ABS(J48 - AA48)</f>
        <v/>
      </c>
      <c r="AC48" s="13" t="inlineStr">
        <is>
          <t>Hợp lệ</t>
        </is>
      </c>
      <c r="AD48" s="14">
        <f>IF(AA48="", 0, IF(AA48&gt;J48, (AA48-J48)*2700000, 0))</f>
        <v/>
      </c>
      <c r="AE48" s="14">
        <f>IF(AA48="", 0, IF(J48&gt;AA48, (J48-AA48)*6000000, 0))</f>
        <v/>
      </c>
      <c r="AF48" s="14">
        <f>AD48 + AE48</f>
        <v/>
      </c>
      <c r="AG48" s="14">
        <f>ABS(U48 - J48)</f>
        <v/>
      </c>
      <c r="AH48" s="14">
        <f>IF(U48&gt;J48, (U48-J48)*2700000, 0)</f>
        <v/>
      </c>
      <c r="AI48" s="14">
        <f>IF(J48&gt;U48, (J48-U48)*6000000, 0)</f>
        <v/>
      </c>
      <c r="AJ48" s="14">
        <f>AH48 + AI48 + S48</f>
        <v/>
      </c>
    </row>
    <row r="49">
      <c r="A49" s="13" t="inlineStr">
        <is>
          <t>Ngày 47 (16/06)</t>
        </is>
      </c>
      <c r="B49" s="14" t="n">
        <v>30</v>
      </c>
      <c r="C49" s="14" t="n">
        <v>65</v>
      </c>
      <c r="D49" s="14" t="n">
        <v>0.77</v>
      </c>
      <c r="E49" s="14" t="n">
        <v>662.4</v>
      </c>
      <c r="F49" s="14" t="n">
        <v>0</v>
      </c>
      <c r="G49" s="14" t="n">
        <v>170.8</v>
      </c>
      <c r="H49" s="14">
        <f>G49*IF(F49=1, 0.85, 0.8)</f>
        <v/>
      </c>
      <c r="I49" s="13" t="inlineStr">
        <is>
          <t>2-4</t>
        </is>
      </c>
      <c r="J49" s="14">
        <f>ROUNDUP(H49/17.2, 0)</f>
        <v/>
      </c>
      <c r="K49" s="14">
        <f>ROUND(TREND(G$3:G$94, E$3:E$94, E49), 1)</f>
        <v/>
      </c>
      <c r="L49" s="14">
        <f>ROUND(TREND(G$3:G$94, B$3:E$94, B49:E49), 1)</f>
        <v/>
      </c>
      <c r="M49" s="14">
        <f>ROUND(TREND(G$3:G$94, B$3:F$94, B49:F49), 1)</f>
        <v/>
      </c>
      <c r="N49" s="14">
        <f>ROUNDUP(M49*IF(F49=1, 0.85, 0.8)/17.2, 0)</f>
        <v/>
      </c>
      <c r="O49" s="14">
        <f>ROUND(N49*70%, 0)</f>
        <v/>
      </c>
      <c r="P49" s="14">
        <f>MIN(ROUNDUP(N49*0.2, 0), MAX(0, N49 - O49))</f>
        <v/>
      </c>
      <c r="Q49" s="13">
        <f>IF(C49&gt;20, "Hủy slot (Mưa &gt; 20mm)", "Kích hoạt")</f>
        <v/>
      </c>
      <c r="R49" s="14">
        <f>IF(C49&gt;20, 0, P49)</f>
        <v/>
      </c>
      <c r="S49" s="14">
        <f>IF(C49&gt;20, P49*0.4*Y49, 0)</f>
        <v/>
      </c>
      <c r="T49" s="14">
        <f>MAX(0, J49 - O49 - R49)</f>
        <v/>
      </c>
      <c r="U49" s="14">
        <f>O49 + R49 + T49</f>
        <v/>
      </c>
      <c r="V49" s="14" t="n">
        <v>13</v>
      </c>
      <c r="W49" s="13" t="inlineStr">
        <is>
          <t>2-4</t>
        </is>
      </c>
      <c r="X49" s="14" t="n">
        <v>2</v>
      </c>
      <c r="Y49" s="14">
        <f>IF(OR(B49&gt;=34, F49=1), 11700000, 9000000)</f>
        <v/>
      </c>
      <c r="Z49" s="14" t="n">
        <v>0.02</v>
      </c>
      <c r="AA49" s="14">
        <f>AVERAGE(J46:J48)</f>
        <v/>
      </c>
      <c r="AB49" s="14">
        <f>ABS(J49 - AA49)</f>
        <v/>
      </c>
      <c r="AC49" s="13" t="inlineStr">
        <is>
          <t>Hợp lệ</t>
        </is>
      </c>
      <c r="AD49" s="14">
        <f>IF(AA49="", 0, IF(AA49&gt;J49, (AA49-J49)*2700000, 0))</f>
        <v/>
      </c>
      <c r="AE49" s="14">
        <f>IF(AA49="", 0, IF(J49&gt;AA49, (J49-AA49)*6000000, 0))</f>
        <v/>
      </c>
      <c r="AF49" s="14">
        <f>AD49 + AE49</f>
        <v/>
      </c>
      <c r="AG49" s="14">
        <f>ABS(U49 - J49)</f>
        <v/>
      </c>
      <c r="AH49" s="14">
        <f>IF(U49&gt;J49, (U49-J49)*2700000, 0)</f>
        <v/>
      </c>
      <c r="AI49" s="14">
        <f>IF(J49&gt;U49, (J49-U49)*6000000, 0)</f>
        <v/>
      </c>
      <c r="AJ49" s="14">
        <f>AH49 + AI49 + S49</f>
        <v/>
      </c>
    </row>
    <row r="50">
      <c r="A50" s="13" t="inlineStr">
        <is>
          <t>Ngày 48 (17/06)</t>
        </is>
      </c>
      <c r="B50" s="14" t="n">
        <v>34.7</v>
      </c>
      <c r="C50" s="14" t="n">
        <v>0</v>
      </c>
      <c r="D50" s="14" t="n">
        <v>0.78</v>
      </c>
      <c r="E50" s="14" t="n">
        <v>624.8</v>
      </c>
      <c r="F50" s="14" t="n">
        <v>0</v>
      </c>
      <c r="G50" s="14" t="n">
        <v>709.6</v>
      </c>
      <c r="H50" s="14">
        <f>G50*IF(F50=1, 0.85, 0.8)</f>
        <v/>
      </c>
      <c r="I50" s="13" t="inlineStr">
        <is>
          <t>2-4</t>
        </is>
      </c>
      <c r="J50" s="14">
        <f>ROUNDUP(H50/17.2, 0)</f>
        <v/>
      </c>
      <c r="K50" s="14">
        <f>ROUND(TREND(G$3:G$94, E$3:E$94, E50), 1)</f>
        <v/>
      </c>
      <c r="L50" s="14">
        <f>ROUND(TREND(G$3:G$94, B$3:E$94, B50:E50), 1)</f>
        <v/>
      </c>
      <c r="M50" s="14">
        <f>ROUND(TREND(G$3:G$94, B$3:F$94, B50:F50), 1)</f>
        <v/>
      </c>
      <c r="N50" s="14">
        <f>ROUNDUP(M50*IF(F50=1, 0.85, 0.8)/17.2, 0)</f>
        <v/>
      </c>
      <c r="O50" s="14">
        <f>ROUND(N50*70%, 0)</f>
        <v/>
      </c>
      <c r="P50" s="14">
        <f>MIN(ROUNDUP(N50*0.2, 0), MAX(0, N50 - O50))</f>
        <v/>
      </c>
      <c r="Q50" s="13">
        <f>IF(C50&gt;20, "Hủy slot (Mưa &gt; 20mm)", "Kích hoạt")</f>
        <v/>
      </c>
      <c r="R50" s="14">
        <f>IF(C50&gt;20, 0, P50)</f>
        <v/>
      </c>
      <c r="S50" s="14">
        <f>IF(C50&gt;20, P50*0.4*Y50, 0)</f>
        <v/>
      </c>
      <c r="T50" s="14">
        <f>MAX(0, J50 - O50 - R50)</f>
        <v/>
      </c>
      <c r="U50" s="14">
        <f>O50 + R50 + T50</f>
        <v/>
      </c>
      <c r="V50" s="14" t="n">
        <v>37</v>
      </c>
      <c r="W50" s="13" t="inlineStr">
        <is>
          <t>2-4</t>
        </is>
      </c>
      <c r="X50" s="14" t="n">
        <v>2</v>
      </c>
      <c r="Y50" s="14">
        <f>IF(OR(B50&gt;=34, F50=1), 11700000, 9000000)</f>
        <v/>
      </c>
      <c r="Z50" s="14" t="n">
        <v>0.02</v>
      </c>
      <c r="AA50" s="14">
        <f>AVERAGE(J47:J49)</f>
        <v/>
      </c>
      <c r="AB50" s="14">
        <f>ABS(J50 - AA50)</f>
        <v/>
      </c>
      <c r="AC50" s="13" t="inlineStr">
        <is>
          <t>Hợp lệ</t>
        </is>
      </c>
      <c r="AD50" s="14">
        <f>IF(AA50="", 0, IF(AA50&gt;J50, (AA50-J50)*2700000, 0))</f>
        <v/>
      </c>
      <c r="AE50" s="14">
        <f>IF(AA50="", 0, IF(J50&gt;AA50, (J50-AA50)*6000000, 0))</f>
        <v/>
      </c>
      <c r="AF50" s="14">
        <f>AD50 + AE50</f>
        <v/>
      </c>
      <c r="AG50" s="14">
        <f>ABS(U50 - J50)</f>
        <v/>
      </c>
      <c r="AH50" s="14">
        <f>IF(U50&gt;J50, (U50-J50)*2700000, 0)</f>
        <v/>
      </c>
      <c r="AI50" s="14">
        <f>IF(J50&gt;U50, (J50-U50)*6000000, 0)</f>
        <v/>
      </c>
      <c r="AJ50" s="14">
        <f>AH50 + AI50 + S50</f>
        <v/>
      </c>
    </row>
    <row r="51">
      <c r="A51" s="13" t="inlineStr">
        <is>
          <t>Ngày 49 (18/06)</t>
        </is>
      </c>
      <c r="B51" s="14" t="n">
        <v>33.7</v>
      </c>
      <c r="C51" s="14" t="n">
        <v>0</v>
      </c>
      <c r="D51" s="14" t="n">
        <v>0.8</v>
      </c>
      <c r="E51" s="14" t="n">
        <v>747</v>
      </c>
      <c r="F51" s="14" t="n">
        <v>1</v>
      </c>
      <c r="G51" s="14" t="n">
        <v>777.4</v>
      </c>
      <c r="H51" s="14">
        <f>G51*IF(F51=1, 0.85, 0.8)</f>
        <v/>
      </c>
      <c r="I51" s="13" t="inlineStr">
        <is>
          <t>2-4</t>
        </is>
      </c>
      <c r="J51" s="14">
        <f>ROUNDUP(H51/17.2, 0)</f>
        <v/>
      </c>
      <c r="K51" s="14">
        <f>ROUND(TREND(G$3:G$94, E$3:E$94, E51), 1)</f>
        <v/>
      </c>
      <c r="L51" s="14">
        <f>ROUND(TREND(G$3:G$94, B$3:E$94, B51:E51), 1)</f>
        <v/>
      </c>
      <c r="M51" s="14">
        <f>ROUND(TREND(G$3:G$94, B$3:F$94, B51:F51), 1)</f>
        <v/>
      </c>
      <c r="N51" s="14">
        <f>ROUNDUP(M51*IF(F51=1, 0.85, 0.8)/17.2, 0)</f>
        <v/>
      </c>
      <c r="O51" s="14">
        <f>ROUND(N51*70%, 0)</f>
        <v/>
      </c>
      <c r="P51" s="14">
        <f>MIN(ROUNDUP(N51*0.2, 0), MAX(0, N51 - O51))</f>
        <v/>
      </c>
      <c r="Q51" s="13">
        <f>IF(C51&gt;20, "Hủy slot (Mưa &gt; 20mm)", "Kích hoạt")</f>
        <v/>
      </c>
      <c r="R51" s="14">
        <f>IF(C51&gt;20, 0, P51)</f>
        <v/>
      </c>
      <c r="S51" s="14">
        <f>IF(C51&gt;20, P51*0.4*Y51, 0)</f>
        <v/>
      </c>
      <c r="T51" s="14">
        <f>MAX(0, J51 - O51 - R51)</f>
        <v/>
      </c>
      <c r="U51" s="14">
        <f>O51 + R51 + T51</f>
        <v/>
      </c>
      <c r="V51" s="14" t="n">
        <v>42</v>
      </c>
      <c r="W51" s="13" t="inlineStr">
        <is>
          <t>2-4</t>
        </is>
      </c>
      <c r="X51" s="14" t="n">
        <v>3</v>
      </c>
      <c r="Y51" s="14">
        <f>IF(OR(B51&gt;=34, F51=1), 11700000, 9000000)</f>
        <v/>
      </c>
      <c r="Z51" s="14" t="n">
        <v>0.02</v>
      </c>
      <c r="AA51" s="14">
        <f>AVERAGE(J48:J50)</f>
        <v/>
      </c>
      <c r="AB51" s="14">
        <f>ABS(J51 - AA51)</f>
        <v/>
      </c>
      <c r="AC51" s="13" t="inlineStr">
        <is>
          <t>Hợp lệ</t>
        </is>
      </c>
      <c r="AD51" s="14">
        <f>IF(AA51="", 0, IF(AA51&gt;J51, (AA51-J51)*2700000, 0))</f>
        <v/>
      </c>
      <c r="AE51" s="14">
        <f>IF(AA51="", 0, IF(J51&gt;AA51, (J51-AA51)*6000000, 0))</f>
        <v/>
      </c>
      <c r="AF51" s="14">
        <f>AD51 + AE51</f>
        <v/>
      </c>
      <c r="AG51" s="14">
        <f>ABS(U51 - J51)</f>
        <v/>
      </c>
      <c r="AH51" s="14">
        <f>IF(U51&gt;J51, (U51-J51)*2700000, 0)</f>
        <v/>
      </c>
      <c r="AI51" s="14">
        <f>IF(J51&gt;U51, (J51-U51)*6000000, 0)</f>
        <v/>
      </c>
      <c r="AJ51" s="14">
        <f>AH51 + AI51 + S51</f>
        <v/>
      </c>
    </row>
    <row r="52">
      <c r="A52" s="13" t="inlineStr">
        <is>
          <t>Ngày 50 (19/06)</t>
        </is>
      </c>
      <c r="B52" s="14" t="n">
        <v>33.8</v>
      </c>
      <c r="C52" s="14" t="n">
        <v>0</v>
      </c>
      <c r="D52" s="14" t="n">
        <v>0.82</v>
      </c>
      <c r="E52" s="14" t="n">
        <v>694.1</v>
      </c>
      <c r="F52" s="14" t="n">
        <v>1</v>
      </c>
      <c r="G52" s="14" t="n">
        <v>711.1</v>
      </c>
      <c r="H52" s="14">
        <f>G52*IF(F52=1, 0.85, 0.8)</f>
        <v/>
      </c>
      <c r="I52" s="13" t="inlineStr">
        <is>
          <t>2-4</t>
        </is>
      </c>
      <c r="J52" s="14">
        <f>ROUNDUP(H52/17.2, 0)</f>
        <v/>
      </c>
      <c r="K52" s="14">
        <f>ROUND(TREND(G$3:G$94, E$3:E$94, E52), 1)</f>
        <v/>
      </c>
      <c r="L52" s="14">
        <f>ROUND(TREND(G$3:G$94, B$3:E$94, B52:E52), 1)</f>
        <v/>
      </c>
      <c r="M52" s="14">
        <f>ROUND(TREND(G$3:G$94, B$3:F$94, B52:F52), 1)</f>
        <v/>
      </c>
      <c r="N52" s="14">
        <f>ROUNDUP(M52*IF(F52=1, 0.85, 0.8)/17.2, 0)</f>
        <v/>
      </c>
      <c r="O52" s="14">
        <f>ROUND(N52*70%, 0)</f>
        <v/>
      </c>
      <c r="P52" s="14">
        <f>MIN(ROUNDUP(N52*0.2, 0), MAX(0, N52 - O52))</f>
        <v/>
      </c>
      <c r="Q52" s="13">
        <f>IF(C52&gt;20, "Hủy slot (Mưa &gt; 20mm)", "Kích hoạt")</f>
        <v/>
      </c>
      <c r="R52" s="14">
        <f>IF(C52&gt;20, 0, P52)</f>
        <v/>
      </c>
      <c r="S52" s="14">
        <f>IF(C52&gt;20, P52*0.4*Y52, 0)</f>
        <v/>
      </c>
      <c r="T52" s="14">
        <f>MAX(0, J52 - O52 - R52)</f>
        <v/>
      </c>
      <c r="U52" s="14">
        <f>O52 + R52 + T52</f>
        <v/>
      </c>
      <c r="V52" s="14" t="n">
        <v>38</v>
      </c>
      <c r="W52" s="13" t="inlineStr">
        <is>
          <t>2-4</t>
        </is>
      </c>
      <c r="X52" s="14" t="n">
        <v>3</v>
      </c>
      <c r="Y52" s="14">
        <f>IF(OR(B52&gt;=34, F52=1), 11700000, 9000000)</f>
        <v/>
      </c>
      <c r="Z52" s="14" t="n">
        <v>0.02</v>
      </c>
      <c r="AA52" s="14">
        <f>AVERAGE(J49:J51)</f>
        <v/>
      </c>
      <c r="AB52" s="14">
        <f>ABS(J52 - AA52)</f>
        <v/>
      </c>
      <c r="AC52" s="13" t="inlineStr">
        <is>
          <t>Hợp lệ</t>
        </is>
      </c>
      <c r="AD52" s="14">
        <f>IF(AA52="", 0, IF(AA52&gt;J52, (AA52-J52)*2700000, 0))</f>
        <v/>
      </c>
      <c r="AE52" s="14">
        <f>IF(AA52="", 0, IF(J52&gt;AA52, (J52-AA52)*6000000, 0))</f>
        <v/>
      </c>
      <c r="AF52" s="14">
        <f>AD52 + AE52</f>
        <v/>
      </c>
      <c r="AG52" s="14">
        <f>ABS(U52 - J52)</f>
        <v/>
      </c>
      <c r="AH52" s="14">
        <f>IF(U52&gt;J52, (U52-J52)*2700000, 0)</f>
        <v/>
      </c>
      <c r="AI52" s="14">
        <f>IF(J52&gt;U52, (J52-U52)*6000000, 0)</f>
        <v/>
      </c>
      <c r="AJ52" s="14">
        <f>AH52 + AI52 + S52</f>
        <v/>
      </c>
    </row>
    <row r="53">
      <c r="A53" s="13" t="inlineStr">
        <is>
          <t>Ngày 51 (20/06)</t>
        </is>
      </c>
      <c r="B53" s="14" t="n">
        <v>37.9</v>
      </c>
      <c r="C53" s="14" t="n">
        <v>25</v>
      </c>
      <c r="D53" s="14" t="n">
        <v>0.83</v>
      </c>
      <c r="E53" s="14" t="n">
        <v>647.8</v>
      </c>
      <c r="F53" s="14" t="n">
        <v>0</v>
      </c>
      <c r="G53" s="14" t="n">
        <v>361.2</v>
      </c>
      <c r="H53" s="14">
        <f>G53*IF(F53=1, 0.85, 0.8)</f>
        <v/>
      </c>
      <c r="I53" s="13" t="inlineStr">
        <is>
          <t>2-4</t>
        </is>
      </c>
      <c r="J53" s="14">
        <f>ROUNDUP(H53/17.2, 0)</f>
        <v/>
      </c>
      <c r="K53" s="14">
        <f>ROUND(TREND(G$3:G$94, E$3:E$94, E53), 1)</f>
        <v/>
      </c>
      <c r="L53" s="14">
        <f>ROUND(TREND(G$3:G$94, B$3:E$94, B53:E53), 1)</f>
        <v/>
      </c>
      <c r="M53" s="14">
        <f>ROUND(TREND(G$3:G$94, B$3:F$94, B53:F53), 1)</f>
        <v/>
      </c>
      <c r="N53" s="14">
        <f>ROUNDUP(M53*IF(F53=1, 0.85, 0.8)/17.2, 0)</f>
        <v/>
      </c>
      <c r="O53" s="14">
        <f>ROUND(N53*70%, 0)</f>
        <v/>
      </c>
      <c r="P53" s="14">
        <f>MIN(ROUNDUP(N53*0.2, 0), MAX(0, N53 - O53))</f>
        <v/>
      </c>
      <c r="Q53" s="13">
        <f>IF(C53&gt;20, "Hủy slot (Mưa &gt; 20mm)", "Kích hoạt")</f>
        <v/>
      </c>
      <c r="R53" s="14">
        <f>IF(C53&gt;20, 0, P53)</f>
        <v/>
      </c>
      <c r="S53" s="14">
        <f>IF(C53&gt;20, P53*0.4*Y53, 0)</f>
        <v/>
      </c>
      <c r="T53" s="14">
        <f>MAX(0, J53 - O53 - R53)</f>
        <v/>
      </c>
      <c r="U53" s="14">
        <f>O53 + R53 + T53</f>
        <v/>
      </c>
      <c r="V53" s="14" t="n">
        <v>21</v>
      </c>
      <c r="W53" s="13" t="inlineStr">
        <is>
          <t>2-4</t>
        </is>
      </c>
      <c r="X53" s="14" t="n">
        <v>3</v>
      </c>
      <c r="Y53" s="14">
        <f>IF(OR(B53&gt;=34, F53=1), 11700000, 9000000)</f>
        <v/>
      </c>
      <c r="Z53" s="14" t="n">
        <v>0.02</v>
      </c>
      <c r="AA53" s="14">
        <f>AVERAGE(J50:J52)</f>
        <v/>
      </c>
      <c r="AB53" s="14">
        <f>ABS(J53 - AA53)</f>
        <v/>
      </c>
      <c r="AC53" s="13" t="inlineStr">
        <is>
          <t>Hợp lệ</t>
        </is>
      </c>
      <c r="AD53" s="14">
        <f>IF(AA53="", 0, IF(AA53&gt;J53, (AA53-J53)*2700000, 0))</f>
        <v/>
      </c>
      <c r="AE53" s="14">
        <f>IF(AA53="", 0, IF(J53&gt;AA53, (J53-AA53)*6000000, 0))</f>
        <v/>
      </c>
      <c r="AF53" s="14">
        <f>AD53 + AE53</f>
        <v/>
      </c>
      <c r="AG53" s="14">
        <f>ABS(U53 - J53)</f>
        <v/>
      </c>
      <c r="AH53" s="14">
        <f>IF(U53&gt;J53, (U53-J53)*2700000, 0)</f>
        <v/>
      </c>
      <c r="AI53" s="14">
        <f>IF(J53&gt;U53, (J53-U53)*6000000, 0)</f>
        <v/>
      </c>
      <c r="AJ53" s="14">
        <f>AH53 + AI53 + S53</f>
        <v/>
      </c>
    </row>
    <row r="54">
      <c r="A54" s="13" t="inlineStr">
        <is>
          <t>Ngày 52 (21/06)</t>
        </is>
      </c>
      <c r="B54" s="14" t="n">
        <v>35.3</v>
      </c>
      <c r="C54" s="14" t="n">
        <v>0</v>
      </c>
      <c r="D54" s="14" t="n">
        <v>0.85</v>
      </c>
      <c r="E54" s="14" t="n">
        <v>622</v>
      </c>
      <c r="F54" s="14" t="n">
        <v>0</v>
      </c>
      <c r="G54" s="14" t="n">
        <v>697.9</v>
      </c>
      <c r="H54" s="14">
        <f>G54*IF(F54=1, 0.85, 0.8)</f>
        <v/>
      </c>
      <c r="I54" s="13" t="inlineStr">
        <is>
          <t>2-4</t>
        </is>
      </c>
      <c r="J54" s="14">
        <f>ROUNDUP(H54/17.2, 0)</f>
        <v/>
      </c>
      <c r="K54" s="14">
        <f>ROUND(TREND(G$3:G$94, E$3:E$94, E54), 1)</f>
        <v/>
      </c>
      <c r="L54" s="14">
        <f>ROUND(TREND(G$3:G$94, B$3:E$94, B54:E54), 1)</f>
        <v/>
      </c>
      <c r="M54" s="14">
        <f>ROUND(TREND(G$3:G$94, B$3:F$94, B54:F54), 1)</f>
        <v/>
      </c>
      <c r="N54" s="14">
        <f>ROUNDUP(M54*IF(F54=1, 0.85, 0.8)/17.2, 0)</f>
        <v/>
      </c>
      <c r="O54" s="14">
        <f>ROUND(N54*70%, 0)</f>
        <v/>
      </c>
      <c r="P54" s="14">
        <f>MIN(ROUNDUP(N54*0.2, 0), MAX(0, N54 - O54))</f>
        <v/>
      </c>
      <c r="Q54" s="13">
        <f>IF(C54&gt;20, "Hủy slot (Mưa &gt; 20mm)", "Kích hoạt")</f>
        <v/>
      </c>
      <c r="R54" s="14">
        <f>IF(C54&gt;20, 0, P54)</f>
        <v/>
      </c>
      <c r="S54" s="14">
        <f>IF(C54&gt;20, P54*0.4*Y54, 0)</f>
        <v/>
      </c>
      <c r="T54" s="14">
        <f>MAX(0, J54 - O54 - R54)</f>
        <v/>
      </c>
      <c r="U54" s="14">
        <f>O54 + R54 + T54</f>
        <v/>
      </c>
      <c r="V54" s="14" t="n">
        <v>37</v>
      </c>
      <c r="W54" s="13" t="inlineStr">
        <is>
          <t>2-4</t>
        </is>
      </c>
      <c r="X54" s="14" t="n">
        <v>3</v>
      </c>
      <c r="Y54" s="14">
        <f>IF(OR(B54&gt;=34, F54=1), 11700000, 9000000)</f>
        <v/>
      </c>
      <c r="Z54" s="14" t="n">
        <v>0.02</v>
      </c>
      <c r="AA54" s="14">
        <f>AVERAGE(J51:J53)</f>
        <v/>
      </c>
      <c r="AB54" s="14">
        <f>ABS(J54 - AA54)</f>
        <v/>
      </c>
      <c r="AC54" s="13" t="inlineStr">
        <is>
          <t>Hợp lệ</t>
        </is>
      </c>
      <c r="AD54" s="14">
        <f>IF(AA54="", 0, IF(AA54&gt;J54, (AA54-J54)*2700000, 0))</f>
        <v/>
      </c>
      <c r="AE54" s="14">
        <f>IF(AA54="", 0, IF(J54&gt;AA54, (J54-AA54)*6000000, 0))</f>
        <v/>
      </c>
      <c r="AF54" s="14">
        <f>AD54 + AE54</f>
        <v/>
      </c>
      <c r="AG54" s="14">
        <f>ABS(U54 - J54)</f>
        <v/>
      </c>
      <c r="AH54" s="14">
        <f>IF(U54&gt;J54, (U54-J54)*2700000, 0)</f>
        <v/>
      </c>
      <c r="AI54" s="14">
        <f>IF(J54&gt;U54, (J54-U54)*6000000, 0)</f>
        <v/>
      </c>
      <c r="AJ54" s="14">
        <f>AH54 + AI54 + S54</f>
        <v/>
      </c>
    </row>
    <row r="55">
      <c r="A55" s="13" t="inlineStr">
        <is>
          <t>Ngày 53 (22/06)</t>
        </is>
      </c>
      <c r="B55" s="14" t="n">
        <v>35.9</v>
      </c>
      <c r="C55" s="14" t="n">
        <v>0</v>
      </c>
      <c r="D55" s="14" t="n">
        <v>0.87</v>
      </c>
      <c r="E55" s="14" t="n">
        <v>618.8</v>
      </c>
      <c r="F55" s="14" t="n">
        <v>0</v>
      </c>
      <c r="G55" s="14" t="n">
        <v>689.3</v>
      </c>
      <c r="H55" s="14">
        <f>G55*IF(F55=1, 0.85, 0.8)</f>
        <v/>
      </c>
      <c r="I55" s="13" t="inlineStr">
        <is>
          <t>2-4</t>
        </is>
      </c>
      <c r="J55" s="14">
        <f>ROUNDUP(H55/17.2, 0)</f>
        <v/>
      </c>
      <c r="K55" s="14">
        <f>ROUND(TREND(G$3:G$94, E$3:E$94, E55), 1)</f>
        <v/>
      </c>
      <c r="L55" s="14">
        <f>ROUND(TREND(G$3:G$94, B$3:E$94, B55:E55), 1)</f>
        <v/>
      </c>
      <c r="M55" s="14">
        <f>ROUND(TREND(G$3:G$94, B$3:F$94, B55:F55), 1)</f>
        <v/>
      </c>
      <c r="N55" s="14">
        <f>ROUNDUP(M55*IF(F55=1, 0.85, 0.8)/17.2, 0)</f>
        <v/>
      </c>
      <c r="O55" s="14">
        <f>ROUND(N55*70%, 0)</f>
        <v/>
      </c>
      <c r="P55" s="14">
        <f>MIN(ROUNDUP(N55*0.2, 0), MAX(0, N55 - O55))</f>
        <v/>
      </c>
      <c r="Q55" s="13">
        <f>IF(C55&gt;20, "Hủy slot (Mưa &gt; 20mm)", "Kích hoạt")</f>
        <v/>
      </c>
      <c r="R55" s="14">
        <f>IF(C55&gt;20, 0, P55)</f>
        <v/>
      </c>
      <c r="S55" s="14">
        <f>IF(C55&gt;20, P55*0.4*Y55, 0)</f>
        <v/>
      </c>
      <c r="T55" s="14">
        <f>MAX(0, J55 - O55 - R55)</f>
        <v/>
      </c>
      <c r="U55" s="14">
        <f>O55 + R55 + T55</f>
        <v/>
      </c>
      <c r="V55" s="14" t="n">
        <v>38</v>
      </c>
      <c r="W55" s="13" t="inlineStr">
        <is>
          <t>2-4</t>
        </is>
      </c>
      <c r="X55" s="14" t="n">
        <v>1</v>
      </c>
      <c r="Y55" s="14">
        <f>IF(OR(B55&gt;=34, F55=1), 11700000, 9000000)</f>
        <v/>
      </c>
      <c r="Z55" s="14" t="n">
        <v>0.02</v>
      </c>
      <c r="AA55" s="14">
        <f>AVERAGE(J52:J54)</f>
        <v/>
      </c>
      <c r="AB55" s="14">
        <f>ABS(J55 - AA55)</f>
        <v/>
      </c>
      <c r="AC55" s="13" t="inlineStr">
        <is>
          <t>Hợp lệ</t>
        </is>
      </c>
      <c r="AD55" s="14">
        <f>IF(AA55="", 0, IF(AA55&gt;J55, (AA55-J55)*2700000, 0))</f>
        <v/>
      </c>
      <c r="AE55" s="14">
        <f>IF(AA55="", 0, IF(J55&gt;AA55, (J55-AA55)*6000000, 0))</f>
        <v/>
      </c>
      <c r="AF55" s="14">
        <f>AD55 + AE55</f>
        <v/>
      </c>
      <c r="AG55" s="14">
        <f>ABS(U55 - J55)</f>
        <v/>
      </c>
      <c r="AH55" s="14">
        <f>IF(U55&gt;J55, (U55-J55)*2700000, 0)</f>
        <v/>
      </c>
      <c r="AI55" s="14">
        <f>IF(J55&gt;U55, (J55-U55)*6000000, 0)</f>
        <v/>
      </c>
      <c r="AJ55" s="14">
        <f>AH55 + AI55 + S55</f>
        <v/>
      </c>
    </row>
    <row r="56">
      <c r="A56" s="13" t="inlineStr">
        <is>
          <t>Ngày 54 (23/06)</t>
        </is>
      </c>
      <c r="B56" s="14" t="n">
        <v>33.4</v>
      </c>
      <c r="C56" s="14" t="n">
        <v>0</v>
      </c>
      <c r="D56" s="14" t="n">
        <v>0.88</v>
      </c>
      <c r="E56" s="14" t="n">
        <v>644.9</v>
      </c>
      <c r="F56" s="14" t="n">
        <v>0</v>
      </c>
      <c r="G56" s="14" t="n">
        <v>650.1</v>
      </c>
      <c r="H56" s="14">
        <f>G56*IF(F56=1, 0.85, 0.8)</f>
        <v/>
      </c>
      <c r="I56" s="13" t="inlineStr">
        <is>
          <t>2-4</t>
        </is>
      </c>
      <c r="J56" s="14">
        <f>ROUNDUP(H56/17.2, 0)</f>
        <v/>
      </c>
      <c r="K56" s="14">
        <f>ROUND(TREND(G$3:G$94, E$3:E$94, E56), 1)</f>
        <v/>
      </c>
      <c r="L56" s="14">
        <f>ROUND(TREND(G$3:G$94, B$3:E$94, B56:E56), 1)</f>
        <v/>
      </c>
      <c r="M56" s="14">
        <f>ROUND(TREND(G$3:G$94, B$3:F$94, B56:F56), 1)</f>
        <v/>
      </c>
      <c r="N56" s="14">
        <f>ROUNDUP(M56*IF(F56=1, 0.85, 0.8)/17.2, 0)</f>
        <v/>
      </c>
      <c r="O56" s="14">
        <f>ROUND(N56*70%, 0)</f>
        <v/>
      </c>
      <c r="P56" s="14">
        <f>MIN(ROUNDUP(N56*0.2, 0), MAX(0, N56 - O56))</f>
        <v/>
      </c>
      <c r="Q56" s="13">
        <f>IF(C56&gt;20, "Hủy slot (Mưa &gt; 20mm)", "Kích hoạt")</f>
        <v/>
      </c>
      <c r="R56" s="14">
        <f>IF(C56&gt;20, 0, P56)</f>
        <v/>
      </c>
      <c r="S56" s="14">
        <f>IF(C56&gt;20, P56*0.4*Y56, 0)</f>
        <v/>
      </c>
      <c r="T56" s="14">
        <f>MAX(0, J56 - O56 - R56)</f>
        <v/>
      </c>
      <c r="U56" s="14">
        <f>O56 + R56 + T56</f>
        <v/>
      </c>
      <c r="V56" s="14" t="n">
        <v>34</v>
      </c>
      <c r="W56" s="13" t="inlineStr">
        <is>
          <t>2-4</t>
        </is>
      </c>
      <c r="X56" s="14" t="n">
        <v>1</v>
      </c>
      <c r="Y56" s="14">
        <f>IF(OR(B56&gt;=34, F56=1), 11700000, 9000000)</f>
        <v/>
      </c>
      <c r="Z56" s="14" t="n">
        <v>0.02</v>
      </c>
      <c r="AA56" s="14">
        <f>AVERAGE(J53:J55)</f>
        <v/>
      </c>
      <c r="AB56" s="14">
        <f>ABS(J56 - AA56)</f>
        <v/>
      </c>
      <c r="AC56" s="13" t="inlineStr">
        <is>
          <t>Hợp lệ</t>
        </is>
      </c>
      <c r="AD56" s="14">
        <f>IF(AA56="", 0, IF(AA56&gt;J56, (AA56-J56)*2700000, 0))</f>
        <v/>
      </c>
      <c r="AE56" s="14">
        <f>IF(AA56="", 0, IF(J56&gt;AA56, (J56-AA56)*6000000, 0))</f>
        <v/>
      </c>
      <c r="AF56" s="14">
        <f>AD56 + AE56</f>
        <v/>
      </c>
      <c r="AG56" s="14">
        <f>ABS(U56 - J56)</f>
        <v/>
      </c>
      <c r="AH56" s="14">
        <f>IF(U56&gt;J56, (U56-J56)*2700000, 0)</f>
        <v/>
      </c>
      <c r="AI56" s="14">
        <f>IF(J56&gt;U56, (J56-U56)*6000000, 0)</f>
        <v/>
      </c>
      <c r="AJ56" s="14">
        <f>AH56 + AI56 + S56</f>
        <v/>
      </c>
    </row>
    <row r="57">
      <c r="A57" s="13" t="inlineStr">
        <is>
          <t>Ngày 55 (24/06)</t>
        </is>
      </c>
      <c r="B57" s="14" t="n">
        <v>33.9</v>
      </c>
      <c r="C57" s="14" t="n">
        <v>0</v>
      </c>
      <c r="D57" s="14" t="n">
        <v>0.9</v>
      </c>
      <c r="E57" s="14" t="n">
        <v>610.8</v>
      </c>
      <c r="F57" s="14" t="n">
        <v>0</v>
      </c>
      <c r="G57" s="14" t="n">
        <v>599.7</v>
      </c>
      <c r="H57" s="14">
        <f>G57*IF(F57=1, 0.85, 0.8)</f>
        <v/>
      </c>
      <c r="I57" s="13" t="inlineStr">
        <is>
          <t>2-4</t>
        </is>
      </c>
      <c r="J57" s="14">
        <f>ROUNDUP(H57/17.2, 0)</f>
        <v/>
      </c>
      <c r="K57" s="14">
        <f>ROUND(TREND(G$3:G$94, E$3:E$94, E57), 1)</f>
        <v/>
      </c>
      <c r="L57" s="14">
        <f>ROUND(TREND(G$3:G$94, B$3:E$94, B57:E57), 1)</f>
        <v/>
      </c>
      <c r="M57" s="14">
        <f>ROUND(TREND(G$3:G$94, B$3:F$94, B57:F57), 1)</f>
        <v/>
      </c>
      <c r="N57" s="14">
        <f>ROUNDUP(M57*IF(F57=1, 0.85, 0.8)/17.2, 0)</f>
        <v/>
      </c>
      <c r="O57" s="14">
        <f>ROUND(N57*70%, 0)</f>
        <v/>
      </c>
      <c r="P57" s="14">
        <f>MIN(ROUNDUP(N57*0.2, 0), MAX(0, N57 - O57))</f>
        <v/>
      </c>
      <c r="Q57" s="13">
        <f>IF(C57&gt;20, "Hủy slot (Mưa &gt; 20mm)", "Kích hoạt")</f>
        <v/>
      </c>
      <c r="R57" s="14">
        <f>IF(C57&gt;20, 0, P57)</f>
        <v/>
      </c>
      <c r="S57" s="14">
        <f>IF(C57&gt;20, P57*0.4*Y57, 0)</f>
        <v/>
      </c>
      <c r="T57" s="14">
        <f>MAX(0, J57 - O57 - R57)</f>
        <v/>
      </c>
      <c r="U57" s="14">
        <f>O57 + R57 + T57</f>
        <v/>
      </c>
      <c r="V57" s="14" t="n">
        <v>31</v>
      </c>
      <c r="W57" s="13" t="inlineStr">
        <is>
          <t>2-4</t>
        </is>
      </c>
      <c r="X57" s="14" t="n">
        <v>2</v>
      </c>
      <c r="Y57" s="14">
        <f>IF(OR(B57&gt;=34, F57=1), 11700000, 9000000)</f>
        <v/>
      </c>
      <c r="Z57" s="14" t="n">
        <v>0.02</v>
      </c>
      <c r="AA57" s="14">
        <f>AVERAGE(J54:J56)</f>
        <v/>
      </c>
      <c r="AB57" s="14">
        <f>ABS(J57 - AA57)</f>
        <v/>
      </c>
      <c r="AC57" s="13" t="inlineStr">
        <is>
          <t>Hợp lệ</t>
        </is>
      </c>
      <c r="AD57" s="14">
        <f>IF(AA57="", 0, IF(AA57&gt;J57, (AA57-J57)*2700000, 0))</f>
        <v/>
      </c>
      <c r="AE57" s="14">
        <f>IF(AA57="", 0, IF(J57&gt;AA57, (J57-AA57)*6000000, 0))</f>
        <v/>
      </c>
      <c r="AF57" s="14">
        <f>AD57 + AE57</f>
        <v/>
      </c>
      <c r="AG57" s="14">
        <f>ABS(U57 - J57)</f>
        <v/>
      </c>
      <c r="AH57" s="14">
        <f>IF(U57&gt;J57, (U57-J57)*2700000, 0)</f>
        <v/>
      </c>
      <c r="AI57" s="14">
        <f>IF(J57&gt;U57, (J57-U57)*6000000, 0)</f>
        <v/>
      </c>
      <c r="AJ57" s="14">
        <f>AH57 + AI57 + S57</f>
        <v/>
      </c>
    </row>
    <row r="58">
      <c r="A58" s="13" t="inlineStr">
        <is>
          <t>Ngày 56 (25/06)</t>
        </is>
      </c>
      <c r="B58" s="14" t="n">
        <v>30</v>
      </c>
      <c r="C58" s="14" t="n">
        <v>65</v>
      </c>
      <c r="D58" s="14" t="n">
        <v>0.92</v>
      </c>
      <c r="E58" s="14" t="n">
        <v>750.9</v>
      </c>
      <c r="F58" s="14" t="n">
        <v>1</v>
      </c>
      <c r="G58" s="14" t="n">
        <v>169.3</v>
      </c>
      <c r="H58" s="14">
        <f>G58*IF(F58=1, 0.85, 0.8)</f>
        <v/>
      </c>
      <c r="I58" s="13" t="inlineStr">
        <is>
          <t>2-4</t>
        </is>
      </c>
      <c r="J58" s="14">
        <f>ROUNDUP(H58/17.2, 0)</f>
        <v/>
      </c>
      <c r="K58" s="14">
        <f>ROUND(TREND(G$3:G$94, E$3:E$94, E58), 1)</f>
        <v/>
      </c>
      <c r="L58" s="14">
        <f>ROUND(TREND(G$3:G$94, B$3:E$94, B58:E58), 1)</f>
        <v/>
      </c>
      <c r="M58" s="14">
        <f>ROUND(TREND(G$3:G$94, B$3:F$94, B58:F58), 1)</f>
        <v/>
      </c>
      <c r="N58" s="14">
        <f>ROUNDUP(M58*IF(F58=1, 0.85, 0.8)/17.2, 0)</f>
        <v/>
      </c>
      <c r="O58" s="14">
        <f>ROUND(N58*70%, 0)</f>
        <v/>
      </c>
      <c r="P58" s="14">
        <f>MIN(ROUNDUP(N58*0.2, 0), MAX(0, N58 - O58))</f>
        <v/>
      </c>
      <c r="Q58" s="13">
        <f>IF(C58&gt;20, "Hủy slot (Mưa &gt; 20mm)", "Kích hoạt")</f>
        <v/>
      </c>
      <c r="R58" s="14">
        <f>IF(C58&gt;20, 0, P58)</f>
        <v/>
      </c>
      <c r="S58" s="14">
        <f>IF(C58&gt;20, P58*0.4*Y58, 0)</f>
        <v/>
      </c>
      <c r="T58" s="14">
        <f>MAX(0, J58 - O58 - R58)</f>
        <v/>
      </c>
      <c r="U58" s="14">
        <f>O58 + R58 + T58</f>
        <v/>
      </c>
      <c r="V58" s="14" t="n">
        <v>14</v>
      </c>
      <c r="W58" s="13" t="inlineStr">
        <is>
          <t>2-4</t>
        </is>
      </c>
      <c r="X58" s="14" t="n">
        <v>2</v>
      </c>
      <c r="Y58" s="14">
        <f>IF(OR(B58&gt;=34, F58=1), 11700000, 9000000)</f>
        <v/>
      </c>
      <c r="Z58" s="14" t="n">
        <v>0.02</v>
      </c>
      <c r="AA58" s="14">
        <f>AVERAGE(J55:J57)</f>
        <v/>
      </c>
      <c r="AB58" s="14">
        <f>ABS(J58 - AA58)</f>
        <v/>
      </c>
      <c r="AC58" s="13" t="inlineStr">
        <is>
          <t>Hợp lệ</t>
        </is>
      </c>
      <c r="AD58" s="14">
        <f>IF(AA58="", 0, IF(AA58&gt;J58, (AA58-J58)*2700000, 0))</f>
        <v/>
      </c>
      <c r="AE58" s="14">
        <f>IF(AA58="", 0, IF(J58&gt;AA58, (J58-AA58)*6000000, 0))</f>
        <v/>
      </c>
      <c r="AF58" s="14">
        <f>AD58 + AE58</f>
        <v/>
      </c>
      <c r="AG58" s="14">
        <f>ABS(U58 - J58)</f>
        <v/>
      </c>
      <c r="AH58" s="14">
        <f>IF(U58&gt;J58, (U58-J58)*2700000, 0)</f>
        <v/>
      </c>
      <c r="AI58" s="14">
        <f>IF(J58&gt;U58, (J58-U58)*6000000, 0)</f>
        <v/>
      </c>
      <c r="AJ58" s="14">
        <f>AH58 + AI58 + S58</f>
        <v/>
      </c>
    </row>
    <row r="59">
      <c r="A59" s="13" t="inlineStr">
        <is>
          <t>Ngày 57 (26/06)</t>
        </is>
      </c>
      <c r="B59" s="14" t="n">
        <v>33.8</v>
      </c>
      <c r="C59" s="14" t="n">
        <v>0</v>
      </c>
      <c r="D59" s="14" t="n">
        <v>0.93</v>
      </c>
      <c r="E59" s="14" t="n">
        <v>670</v>
      </c>
      <c r="F59" s="14" t="n">
        <v>1</v>
      </c>
      <c r="G59" s="14" t="n">
        <v>688.2</v>
      </c>
      <c r="H59" s="14">
        <f>G59*IF(F59=1, 0.85, 0.8)</f>
        <v/>
      </c>
      <c r="I59" s="13" t="inlineStr">
        <is>
          <t>2-4</t>
        </is>
      </c>
      <c r="J59" s="14">
        <f>ROUNDUP(H59/17.2, 0)</f>
        <v/>
      </c>
      <c r="K59" s="14">
        <f>ROUND(TREND(G$3:G$94, E$3:E$94, E59), 1)</f>
        <v/>
      </c>
      <c r="L59" s="14">
        <f>ROUND(TREND(G$3:G$94, B$3:E$94, B59:E59), 1)</f>
        <v/>
      </c>
      <c r="M59" s="14">
        <f>ROUND(TREND(G$3:G$94, B$3:F$94, B59:F59), 1)</f>
        <v/>
      </c>
      <c r="N59" s="14">
        <f>ROUNDUP(M59*IF(F59=1, 0.85, 0.8)/17.2, 0)</f>
        <v/>
      </c>
      <c r="O59" s="14">
        <f>ROUND(N59*70%, 0)</f>
        <v/>
      </c>
      <c r="P59" s="14">
        <f>MIN(ROUNDUP(N59*0.2, 0), MAX(0, N59 - O59))</f>
        <v/>
      </c>
      <c r="Q59" s="13">
        <f>IF(C59&gt;20, "Hủy slot (Mưa &gt; 20mm)", "Kích hoạt")</f>
        <v/>
      </c>
      <c r="R59" s="14">
        <f>IF(C59&gt;20, 0, P59)</f>
        <v/>
      </c>
      <c r="S59" s="14">
        <f>IF(C59&gt;20, P59*0.4*Y59, 0)</f>
        <v/>
      </c>
      <c r="T59" s="14">
        <f>MAX(0, J59 - O59 - R59)</f>
        <v/>
      </c>
      <c r="U59" s="14">
        <f>O59 + R59 + T59</f>
        <v/>
      </c>
      <c r="V59" s="14" t="n">
        <v>38</v>
      </c>
      <c r="W59" s="13" t="inlineStr">
        <is>
          <t>2-4</t>
        </is>
      </c>
      <c r="X59" s="14" t="n">
        <v>3</v>
      </c>
      <c r="Y59" s="14">
        <f>IF(OR(B59&gt;=34, F59=1), 11700000, 9000000)</f>
        <v/>
      </c>
      <c r="Z59" s="14" t="n">
        <v>0.02</v>
      </c>
      <c r="AA59" s="14">
        <f>AVERAGE(J56:J58)</f>
        <v/>
      </c>
      <c r="AB59" s="14">
        <f>ABS(J59 - AA59)</f>
        <v/>
      </c>
      <c r="AC59" s="13" t="inlineStr">
        <is>
          <t>Hợp lệ</t>
        </is>
      </c>
      <c r="AD59" s="14">
        <f>IF(AA59="", 0, IF(AA59&gt;J59, (AA59-J59)*2700000, 0))</f>
        <v/>
      </c>
      <c r="AE59" s="14">
        <f>IF(AA59="", 0, IF(J59&gt;AA59, (J59-AA59)*6000000, 0))</f>
        <v/>
      </c>
      <c r="AF59" s="14">
        <f>AD59 + AE59</f>
        <v/>
      </c>
      <c r="AG59" s="14">
        <f>ABS(U59 - J59)</f>
        <v/>
      </c>
      <c r="AH59" s="14">
        <f>IF(U59&gt;J59, (U59-J59)*2700000, 0)</f>
        <v/>
      </c>
      <c r="AI59" s="14">
        <f>IF(J59&gt;U59, (J59-U59)*6000000, 0)</f>
        <v/>
      </c>
      <c r="AJ59" s="14">
        <f>AH59 + AI59 + S59</f>
        <v/>
      </c>
    </row>
    <row r="60">
      <c r="A60" s="13" t="inlineStr">
        <is>
          <t>Ngày 58 (27/06)</t>
        </is>
      </c>
      <c r="B60" s="14" t="n">
        <v>35.1</v>
      </c>
      <c r="C60" s="14" t="n">
        <v>0</v>
      </c>
      <c r="D60" s="14" t="n">
        <v>0.95</v>
      </c>
      <c r="E60" s="14" t="n">
        <v>632.4</v>
      </c>
      <c r="F60" s="14" t="n">
        <v>0</v>
      </c>
      <c r="G60" s="14" t="n">
        <v>613.4</v>
      </c>
      <c r="H60" s="14">
        <f>G60*IF(F60=1, 0.85, 0.8)</f>
        <v/>
      </c>
      <c r="I60" s="13" t="inlineStr">
        <is>
          <t>2-4</t>
        </is>
      </c>
      <c r="J60" s="14">
        <f>ROUNDUP(H60/17.2, 0)</f>
        <v/>
      </c>
      <c r="K60" s="14">
        <f>ROUND(TREND(G$3:G$94, E$3:E$94, E60), 1)</f>
        <v/>
      </c>
      <c r="L60" s="14">
        <f>ROUND(TREND(G$3:G$94, B$3:E$94, B60:E60), 1)</f>
        <v/>
      </c>
      <c r="M60" s="14">
        <f>ROUND(TREND(G$3:G$94, B$3:F$94, B60:F60), 1)</f>
        <v/>
      </c>
      <c r="N60" s="14">
        <f>ROUNDUP(M60*IF(F60=1, 0.85, 0.8)/17.2, 0)</f>
        <v/>
      </c>
      <c r="O60" s="14">
        <f>ROUND(N60*70%, 0)</f>
        <v/>
      </c>
      <c r="P60" s="14">
        <f>MIN(ROUNDUP(N60*0.2, 0), MAX(0, N60 - O60))</f>
        <v/>
      </c>
      <c r="Q60" s="13">
        <f>IF(C60&gt;20, "Hủy slot (Mưa &gt; 20mm)", "Kích hoạt")</f>
        <v/>
      </c>
      <c r="R60" s="14">
        <f>IF(C60&gt;20, 0, P60)</f>
        <v/>
      </c>
      <c r="S60" s="14">
        <f>IF(C60&gt;20, P60*0.4*Y60, 0)</f>
        <v/>
      </c>
      <c r="T60" s="14">
        <f>MAX(0, J60 - O60 - R60)</f>
        <v/>
      </c>
      <c r="U60" s="14">
        <f>O60 + R60 + T60</f>
        <v/>
      </c>
      <c r="V60" s="14" t="n">
        <v>33</v>
      </c>
      <c r="W60" s="13" t="inlineStr">
        <is>
          <t>2-4</t>
        </is>
      </c>
      <c r="X60" s="14" t="n">
        <v>2</v>
      </c>
      <c r="Y60" s="14">
        <f>IF(OR(B60&gt;=34, F60=1), 11700000, 9000000)</f>
        <v/>
      </c>
      <c r="Z60" s="14" t="n">
        <v>0.02</v>
      </c>
      <c r="AA60" s="14">
        <f>AVERAGE(J57:J59)</f>
        <v/>
      </c>
      <c r="AB60" s="14">
        <f>ABS(J60 - AA60)</f>
        <v/>
      </c>
      <c r="AC60" s="13" t="inlineStr">
        <is>
          <t>Hợp lệ</t>
        </is>
      </c>
      <c r="AD60" s="14">
        <f>IF(AA60="", 0, IF(AA60&gt;J60, (AA60-J60)*2700000, 0))</f>
        <v/>
      </c>
      <c r="AE60" s="14">
        <f>IF(AA60="", 0, IF(J60&gt;AA60, (J60-AA60)*6000000, 0))</f>
        <v/>
      </c>
      <c r="AF60" s="14">
        <f>AD60 + AE60</f>
        <v/>
      </c>
      <c r="AG60" s="14">
        <f>ABS(U60 - J60)</f>
        <v/>
      </c>
      <c r="AH60" s="14">
        <f>IF(U60&gt;J60, (U60-J60)*2700000, 0)</f>
        <v/>
      </c>
      <c r="AI60" s="14">
        <f>IF(J60&gt;U60, (J60-U60)*6000000, 0)</f>
        <v/>
      </c>
      <c r="AJ60" s="14">
        <f>AH60 + AI60 + S60</f>
        <v/>
      </c>
    </row>
    <row r="61">
      <c r="A61" s="13" t="inlineStr">
        <is>
          <t>Ngày 59 (28/06)</t>
        </is>
      </c>
      <c r="B61" s="14" t="n">
        <v>37.2</v>
      </c>
      <c r="C61" s="14" t="n">
        <v>0</v>
      </c>
      <c r="D61" s="14" t="n">
        <v>0.97</v>
      </c>
      <c r="E61" s="14" t="n">
        <v>527.4</v>
      </c>
      <c r="F61" s="14" t="n">
        <v>0</v>
      </c>
      <c r="G61" s="14" t="n">
        <v>660.6</v>
      </c>
      <c r="H61" s="14">
        <f>G61*IF(F61=1, 0.85, 0.8)</f>
        <v/>
      </c>
      <c r="I61" s="13" t="inlineStr">
        <is>
          <t>2-4</t>
        </is>
      </c>
      <c r="J61" s="14">
        <f>ROUNDUP(H61/17.2, 0)</f>
        <v/>
      </c>
      <c r="K61" s="14">
        <f>ROUND(TREND(G$3:G$94, E$3:E$94, E61), 1)</f>
        <v/>
      </c>
      <c r="L61" s="14">
        <f>ROUND(TREND(G$3:G$94, B$3:E$94, B61:E61), 1)</f>
        <v/>
      </c>
      <c r="M61" s="14">
        <f>ROUND(TREND(G$3:G$94, B$3:F$94, B61:F61), 1)</f>
        <v/>
      </c>
      <c r="N61" s="14">
        <f>ROUNDUP(M61*IF(F61=1, 0.85, 0.8)/17.2, 0)</f>
        <v/>
      </c>
      <c r="O61" s="14">
        <f>ROUND(N61*70%, 0)</f>
        <v/>
      </c>
      <c r="P61" s="14">
        <f>MIN(ROUNDUP(N61*0.2, 0), MAX(0, N61 - O61))</f>
        <v/>
      </c>
      <c r="Q61" s="13">
        <f>IF(C61&gt;20, "Hủy slot (Mưa &gt; 20mm)", "Kích hoạt")</f>
        <v/>
      </c>
      <c r="R61" s="14">
        <f>IF(C61&gt;20, 0, P61)</f>
        <v/>
      </c>
      <c r="S61" s="14">
        <f>IF(C61&gt;20, P61*0.4*Y61, 0)</f>
        <v/>
      </c>
      <c r="T61" s="14">
        <f>MAX(0, J61 - O61 - R61)</f>
        <v/>
      </c>
      <c r="U61" s="14">
        <f>O61 + R61 + T61</f>
        <v/>
      </c>
      <c r="V61" s="14" t="n">
        <v>36</v>
      </c>
      <c r="W61" s="13" t="inlineStr">
        <is>
          <t>2-4</t>
        </is>
      </c>
      <c r="X61" s="14" t="n">
        <v>2</v>
      </c>
      <c r="Y61" s="14">
        <f>IF(OR(B61&gt;=34, F61=1), 11700000, 9000000)</f>
        <v/>
      </c>
      <c r="Z61" s="14" t="n">
        <v>0.02</v>
      </c>
      <c r="AA61" s="14">
        <f>AVERAGE(J58:J60)</f>
        <v/>
      </c>
      <c r="AB61" s="14">
        <f>ABS(J61 - AA61)</f>
        <v/>
      </c>
      <c r="AC61" s="13" t="inlineStr">
        <is>
          <t>Hợp lệ</t>
        </is>
      </c>
      <c r="AD61" s="14">
        <f>IF(AA61="", 0, IF(AA61&gt;J61, (AA61-J61)*2700000, 0))</f>
        <v/>
      </c>
      <c r="AE61" s="14">
        <f>IF(AA61="", 0, IF(J61&gt;AA61, (J61-AA61)*6000000, 0))</f>
        <v/>
      </c>
      <c r="AF61" s="14">
        <f>AD61 + AE61</f>
        <v/>
      </c>
      <c r="AG61" s="14">
        <f>ABS(U61 - J61)</f>
        <v/>
      </c>
      <c r="AH61" s="14">
        <f>IF(U61&gt;J61, (U61-J61)*2700000, 0)</f>
        <v/>
      </c>
      <c r="AI61" s="14">
        <f>IF(J61&gt;U61, (J61-U61)*6000000, 0)</f>
        <v/>
      </c>
      <c r="AJ61" s="14">
        <f>AH61 + AI61 + S61</f>
        <v/>
      </c>
    </row>
    <row r="62">
      <c r="A62" s="13" t="inlineStr">
        <is>
          <t>Ngày 60 (29/06)</t>
        </is>
      </c>
      <c r="B62" s="14" t="n">
        <v>34.5</v>
      </c>
      <c r="C62" s="14" t="n">
        <v>0</v>
      </c>
      <c r="D62" s="14" t="n">
        <v>0.98</v>
      </c>
      <c r="E62" s="14" t="n">
        <v>598.6</v>
      </c>
      <c r="F62" s="14" t="n">
        <v>0</v>
      </c>
      <c r="G62" s="14" t="n">
        <v>579.4</v>
      </c>
      <c r="H62" s="14">
        <f>G62*IF(F62=1, 0.85, 0.8)</f>
        <v/>
      </c>
      <c r="I62" s="13" t="inlineStr">
        <is>
          <t>2-4</t>
        </is>
      </c>
      <c r="J62" s="14">
        <f>ROUNDUP(H62/17.2, 0)</f>
        <v/>
      </c>
      <c r="K62" s="14">
        <f>ROUND(TREND(G$3:G$94, E$3:E$94, E62), 1)</f>
        <v/>
      </c>
      <c r="L62" s="14">
        <f>ROUND(TREND(G$3:G$94, B$3:E$94, B62:E62), 1)</f>
        <v/>
      </c>
      <c r="M62" s="14">
        <f>ROUND(TREND(G$3:G$94, B$3:F$94, B62:F62), 1)</f>
        <v/>
      </c>
      <c r="N62" s="14">
        <f>ROUNDUP(M62*IF(F62=1, 0.85, 0.8)/17.2, 0)</f>
        <v/>
      </c>
      <c r="O62" s="14">
        <f>ROUND(N62*70%, 0)</f>
        <v/>
      </c>
      <c r="P62" s="14">
        <f>MIN(ROUNDUP(N62*0.2, 0), MAX(0, N62 - O62))</f>
        <v/>
      </c>
      <c r="Q62" s="13">
        <f>IF(C62&gt;20, "Hủy slot (Mưa &gt; 20mm)", "Kích hoạt")</f>
        <v/>
      </c>
      <c r="R62" s="14">
        <f>IF(C62&gt;20, 0, P62)</f>
        <v/>
      </c>
      <c r="S62" s="14">
        <f>IF(C62&gt;20, P62*0.4*Y62, 0)</f>
        <v/>
      </c>
      <c r="T62" s="14">
        <f>MAX(0, J62 - O62 - R62)</f>
        <v/>
      </c>
      <c r="U62" s="14">
        <f>O62 + R62 + T62</f>
        <v/>
      </c>
      <c r="V62" s="14" t="n">
        <v>31</v>
      </c>
      <c r="W62" s="13" t="inlineStr">
        <is>
          <t>2-4</t>
        </is>
      </c>
      <c r="X62" s="14" t="n">
        <v>3</v>
      </c>
      <c r="Y62" s="14">
        <f>IF(OR(B62&gt;=34, F62=1), 11700000, 9000000)</f>
        <v/>
      </c>
      <c r="Z62" s="14" t="n">
        <v>0.02</v>
      </c>
      <c r="AA62" s="14">
        <f>AVERAGE(J59:J61)</f>
        <v/>
      </c>
      <c r="AB62" s="14">
        <f>ABS(J62 - AA62)</f>
        <v/>
      </c>
      <c r="AC62" s="13" t="inlineStr">
        <is>
          <t>Hợp lệ</t>
        </is>
      </c>
      <c r="AD62" s="14">
        <f>IF(AA62="", 0, IF(AA62&gt;J62, (AA62-J62)*2700000, 0))</f>
        <v/>
      </c>
      <c r="AE62" s="14">
        <f>IF(AA62="", 0, IF(J62&gt;AA62, (J62-AA62)*6000000, 0))</f>
        <v/>
      </c>
      <c r="AF62" s="14">
        <f>AD62 + AE62</f>
        <v/>
      </c>
      <c r="AG62" s="14">
        <f>ABS(U62 - J62)</f>
        <v/>
      </c>
      <c r="AH62" s="14">
        <f>IF(U62&gt;J62, (U62-J62)*2700000, 0)</f>
        <v/>
      </c>
      <c r="AI62" s="14">
        <f>IF(J62&gt;U62, (J62-U62)*6000000, 0)</f>
        <v/>
      </c>
      <c r="AJ62" s="14">
        <f>AH62 + AI62 + S62</f>
        <v/>
      </c>
    </row>
    <row r="63">
      <c r="A63" s="13" t="inlineStr">
        <is>
          <t>Ngày 61 (30/06)</t>
        </is>
      </c>
      <c r="B63" s="14" t="n">
        <v>34.5</v>
      </c>
      <c r="C63" s="14" t="n">
        <v>0</v>
      </c>
      <c r="D63" s="14" t="n">
        <v>1</v>
      </c>
      <c r="E63" s="14" t="n">
        <v>560.6</v>
      </c>
      <c r="F63" s="14" t="n">
        <v>0</v>
      </c>
      <c r="G63" s="14" t="n">
        <v>549.7</v>
      </c>
      <c r="H63" s="14">
        <f>G63*IF(F63=1, 0.85, 0.8)</f>
        <v/>
      </c>
      <c r="I63" s="13" t="inlineStr">
        <is>
          <t>2-4</t>
        </is>
      </c>
      <c r="J63" s="14">
        <f>ROUNDUP(H63/17.2, 0)</f>
        <v/>
      </c>
      <c r="K63" s="14">
        <f>ROUND(TREND(G$3:G$94, E$3:E$94, E63), 1)</f>
        <v/>
      </c>
      <c r="L63" s="14">
        <f>ROUND(TREND(G$3:G$94, B$3:E$94, B63:E63), 1)</f>
        <v/>
      </c>
      <c r="M63" s="14">
        <f>ROUND(TREND(G$3:G$94, B$3:F$94, B63:F63), 1)</f>
        <v/>
      </c>
      <c r="N63" s="14">
        <f>ROUNDUP(M63*IF(F63=1, 0.85, 0.8)/17.2, 0)</f>
        <v/>
      </c>
      <c r="O63" s="14">
        <f>ROUND(N63*70%, 0)</f>
        <v/>
      </c>
      <c r="P63" s="14">
        <f>MIN(ROUNDUP(N63*0.2, 0), MAX(0, N63 - O63))</f>
        <v/>
      </c>
      <c r="Q63" s="13">
        <f>IF(C63&gt;20, "Hủy slot (Mưa &gt; 20mm)", "Kích hoạt")</f>
        <v/>
      </c>
      <c r="R63" s="14">
        <f>IF(C63&gt;20, 0, P63)</f>
        <v/>
      </c>
      <c r="S63" s="14">
        <f>IF(C63&gt;20, P63*0.4*Y63, 0)</f>
        <v/>
      </c>
      <c r="T63" s="14">
        <f>MAX(0, J63 - O63 - R63)</f>
        <v/>
      </c>
      <c r="U63" s="14">
        <f>O63 + R63 + T63</f>
        <v/>
      </c>
      <c r="V63" s="14" t="n">
        <v>29</v>
      </c>
      <c r="W63" s="13" t="inlineStr">
        <is>
          <t>2-4</t>
        </is>
      </c>
      <c r="X63" s="14" t="n">
        <v>2</v>
      </c>
      <c r="Y63" s="14">
        <f>IF(OR(B63&gt;=34, F63=1), 11700000, 9000000)</f>
        <v/>
      </c>
      <c r="Z63" s="14" t="n">
        <v>0.02</v>
      </c>
      <c r="AA63" s="14">
        <f>AVERAGE(J60:J62)</f>
        <v/>
      </c>
      <c r="AB63" s="14">
        <f>ABS(J63 - AA63)</f>
        <v/>
      </c>
      <c r="AC63" s="13" t="inlineStr">
        <is>
          <t>Hợp lệ</t>
        </is>
      </c>
      <c r="AD63" s="14">
        <f>IF(AA63="", 0, IF(AA63&gt;J63, (AA63-J63)*2700000, 0))</f>
        <v/>
      </c>
      <c r="AE63" s="14">
        <f>IF(AA63="", 0, IF(J63&gt;AA63, (J63-AA63)*6000000, 0))</f>
        <v/>
      </c>
      <c r="AF63" s="14">
        <f>AD63 + AE63</f>
        <v/>
      </c>
      <c r="AG63" s="14">
        <f>ABS(U63 - J63)</f>
        <v/>
      </c>
      <c r="AH63" s="14">
        <f>IF(U63&gt;J63, (U63-J63)*2700000, 0)</f>
        <v/>
      </c>
      <c r="AI63" s="14">
        <f>IF(J63&gt;U63, (J63-U63)*6000000, 0)</f>
        <v/>
      </c>
      <c r="AJ63" s="14">
        <f>AH63 + AI63 + S63</f>
        <v/>
      </c>
    </row>
    <row r="64">
      <c r="A64" s="13" t="inlineStr">
        <is>
          <t>Ngày 62 (01/07)</t>
        </is>
      </c>
      <c r="B64" s="14" t="n">
        <v>30.2</v>
      </c>
      <c r="C64" s="14" t="n">
        <v>0</v>
      </c>
      <c r="D64" s="14" t="n">
        <v>1</v>
      </c>
      <c r="E64" s="14" t="n">
        <v>371.7</v>
      </c>
      <c r="F64" s="14" t="n">
        <v>0</v>
      </c>
      <c r="G64" s="14" t="n">
        <v>374.8</v>
      </c>
      <c r="H64" s="14">
        <f>G64*IF(F64=1, 0.85, 0.8)</f>
        <v/>
      </c>
      <c r="I64" s="13" t="inlineStr">
        <is>
          <t>2-4</t>
        </is>
      </c>
      <c r="J64" s="14">
        <f>ROUNDUP(H64/17.2, 0)</f>
        <v/>
      </c>
      <c r="K64" s="14">
        <f>ROUND(TREND(G$3:G$94, E$3:E$94, E64), 1)</f>
        <v/>
      </c>
      <c r="L64" s="14">
        <f>ROUND(TREND(G$3:G$94, B$3:E$94, B64:E64), 1)</f>
        <v/>
      </c>
      <c r="M64" s="14">
        <f>ROUND(TREND(G$3:G$94, B$3:F$94, B64:F64), 1)</f>
        <v/>
      </c>
      <c r="N64" s="14">
        <f>ROUNDUP(M64*IF(F64=1, 0.85, 0.8)/17.2, 0)</f>
        <v/>
      </c>
      <c r="O64" s="14">
        <f>ROUND(N64*70%, 0)</f>
        <v/>
      </c>
      <c r="P64" s="14">
        <f>MIN(ROUNDUP(N64*0.2, 0), MAX(0, N64 - O64))</f>
        <v/>
      </c>
      <c r="Q64" s="13">
        <f>IF(C64&gt;20, "Hủy slot (Mưa &gt; 20mm)", "Kích hoạt")</f>
        <v/>
      </c>
      <c r="R64" s="14">
        <f>IF(C64&gt;20, 0, P64)</f>
        <v/>
      </c>
      <c r="S64" s="14">
        <f>IF(C64&gt;20, P64*0.4*Y64, 0)</f>
        <v/>
      </c>
      <c r="T64" s="14">
        <f>MAX(0, J64 - O64 - R64)</f>
        <v/>
      </c>
      <c r="U64" s="14">
        <f>O64 + R64 + T64</f>
        <v/>
      </c>
      <c r="V64" s="14" t="n">
        <v>22</v>
      </c>
      <c r="W64" s="13" t="inlineStr">
        <is>
          <t>2-4</t>
        </is>
      </c>
      <c r="X64" s="14" t="n">
        <v>1</v>
      </c>
      <c r="Y64" s="14">
        <f>IF(OR(B64&gt;=34, F64=1), 11700000, 9000000)</f>
        <v/>
      </c>
      <c r="Z64" s="14" t="n">
        <v>0.02</v>
      </c>
      <c r="AA64" s="14">
        <f>AVERAGE(J61:J63)</f>
        <v/>
      </c>
      <c r="AB64" s="14">
        <f>ABS(J64 - AA64)</f>
        <v/>
      </c>
      <c r="AC64" s="13" t="inlineStr">
        <is>
          <t>Hợp lệ</t>
        </is>
      </c>
      <c r="AD64" s="14">
        <f>IF(AA64="", 0, IF(AA64&gt;J64, (AA64-J64)*2700000, 0))</f>
        <v/>
      </c>
      <c r="AE64" s="14">
        <f>IF(AA64="", 0, IF(J64&gt;AA64, (J64-AA64)*6000000, 0))</f>
        <v/>
      </c>
      <c r="AF64" s="14">
        <f>AD64 + AE64</f>
        <v/>
      </c>
      <c r="AG64" s="14">
        <f>ABS(U64 - J64)</f>
        <v/>
      </c>
      <c r="AH64" s="14">
        <f>IF(U64&gt;J64, (U64-J64)*2700000, 0)</f>
        <v/>
      </c>
      <c r="AI64" s="14">
        <f>IF(J64&gt;U64, (J64-U64)*6000000, 0)</f>
        <v/>
      </c>
      <c r="AJ64" s="14">
        <f>AH64 + AI64 + S64</f>
        <v/>
      </c>
    </row>
    <row r="65">
      <c r="A65" s="13" t="inlineStr">
        <is>
          <t>Ngày 63 (02/07)</t>
        </is>
      </c>
      <c r="B65" s="14" t="n">
        <v>30.5</v>
      </c>
      <c r="C65" s="14" t="n">
        <v>0</v>
      </c>
      <c r="D65" s="14" t="n">
        <v>1</v>
      </c>
      <c r="E65" s="14" t="n">
        <v>357.6</v>
      </c>
      <c r="F65" s="14" t="n">
        <v>1</v>
      </c>
      <c r="G65" s="14" t="n">
        <v>383.8</v>
      </c>
      <c r="H65" s="14">
        <f>G65*IF(F65=1, 0.85, 0.8)</f>
        <v/>
      </c>
      <c r="I65" s="13" t="inlineStr">
        <is>
          <t>2-4</t>
        </is>
      </c>
      <c r="J65" s="14">
        <f>ROUNDUP(H65/17.2, 0)</f>
        <v/>
      </c>
      <c r="K65" s="14">
        <f>ROUND(TREND(G$3:G$94, E$3:E$94, E65), 1)</f>
        <v/>
      </c>
      <c r="L65" s="14">
        <f>ROUND(TREND(G$3:G$94, B$3:E$94, B65:E65), 1)</f>
        <v/>
      </c>
      <c r="M65" s="14">
        <f>ROUND(TREND(G$3:G$94, B$3:F$94, B65:F65), 1)</f>
        <v/>
      </c>
      <c r="N65" s="14">
        <f>ROUNDUP(M65*IF(F65=1, 0.85, 0.8)/17.2, 0)</f>
        <v/>
      </c>
      <c r="O65" s="14">
        <f>ROUND(N65*70%, 0)</f>
        <v/>
      </c>
      <c r="P65" s="14">
        <f>MIN(ROUNDUP(N65*0.2, 0), MAX(0, N65 - O65))</f>
        <v/>
      </c>
      <c r="Q65" s="13">
        <f>IF(C65&gt;20, "Hủy slot (Mưa &gt; 20mm)", "Kích hoạt")</f>
        <v/>
      </c>
      <c r="R65" s="14">
        <f>IF(C65&gt;20, 0, P65)</f>
        <v/>
      </c>
      <c r="S65" s="14">
        <f>IF(C65&gt;20, P65*0.4*Y65, 0)</f>
        <v/>
      </c>
      <c r="T65" s="14">
        <f>MAX(0, J65 - O65 - R65)</f>
        <v/>
      </c>
      <c r="U65" s="14">
        <f>O65 + R65 + T65</f>
        <v/>
      </c>
      <c r="V65" s="14" t="n">
        <v>21</v>
      </c>
      <c r="W65" s="13" t="inlineStr">
        <is>
          <t>2-4</t>
        </is>
      </c>
      <c r="X65" s="14" t="n">
        <v>1</v>
      </c>
      <c r="Y65" s="14">
        <f>IF(OR(B65&gt;=34, F65=1), 11700000, 9000000)</f>
        <v/>
      </c>
      <c r="Z65" s="14" t="n">
        <v>0.02</v>
      </c>
      <c r="AA65" s="14">
        <f>AVERAGE(J62:J64)</f>
        <v/>
      </c>
      <c r="AB65" s="14">
        <f>ABS(J65 - AA65)</f>
        <v/>
      </c>
      <c r="AC65" s="13" t="inlineStr">
        <is>
          <t>Hợp lệ</t>
        </is>
      </c>
      <c r="AD65" s="14">
        <f>IF(AA65="", 0, IF(AA65&gt;J65, (AA65-J65)*2700000, 0))</f>
        <v/>
      </c>
      <c r="AE65" s="14">
        <f>IF(AA65="", 0, IF(J65&gt;AA65, (J65-AA65)*6000000, 0))</f>
        <v/>
      </c>
      <c r="AF65" s="14">
        <f>AD65 + AE65</f>
        <v/>
      </c>
      <c r="AG65" s="14">
        <f>ABS(U65 - J65)</f>
        <v/>
      </c>
      <c r="AH65" s="14">
        <f>IF(U65&gt;J65, (U65-J65)*2700000, 0)</f>
        <v/>
      </c>
      <c r="AI65" s="14">
        <f>IF(J65&gt;U65, (J65-U65)*6000000, 0)</f>
        <v/>
      </c>
      <c r="AJ65" s="14">
        <f>AH65 + AI65 + S65</f>
        <v/>
      </c>
    </row>
    <row r="66">
      <c r="A66" s="13" t="inlineStr">
        <is>
          <t>Ngày 64 (03/07)</t>
        </is>
      </c>
      <c r="B66" s="14" t="n">
        <v>29.3</v>
      </c>
      <c r="C66" s="14" t="n">
        <v>25</v>
      </c>
      <c r="D66" s="14" t="n">
        <v>1</v>
      </c>
      <c r="E66" s="14" t="n">
        <v>314.7</v>
      </c>
      <c r="F66" s="14" t="n">
        <v>1</v>
      </c>
      <c r="G66" s="14" t="n">
        <v>283.2</v>
      </c>
      <c r="H66" s="14">
        <f>G66*IF(F66=1, 0.85, 0.8)</f>
        <v/>
      </c>
      <c r="I66" s="13" t="inlineStr">
        <is>
          <t>2-4</t>
        </is>
      </c>
      <c r="J66" s="14">
        <f>ROUNDUP(H66/17.2, 0)</f>
        <v/>
      </c>
      <c r="K66" s="14">
        <f>ROUND(TREND(G$3:G$94, E$3:E$94, E66), 1)</f>
        <v/>
      </c>
      <c r="L66" s="14">
        <f>ROUND(TREND(G$3:G$94, B$3:E$94, B66:E66), 1)</f>
        <v/>
      </c>
      <c r="M66" s="14">
        <f>ROUND(TREND(G$3:G$94, B$3:F$94, B66:F66), 1)</f>
        <v/>
      </c>
      <c r="N66" s="14">
        <f>ROUNDUP(M66*IF(F66=1, 0.85, 0.8)/17.2, 0)</f>
        <v/>
      </c>
      <c r="O66" s="14">
        <f>ROUND(N66*70%, 0)</f>
        <v/>
      </c>
      <c r="P66" s="14">
        <f>MIN(ROUNDUP(N66*0.2, 0), MAX(0, N66 - O66))</f>
        <v/>
      </c>
      <c r="Q66" s="13">
        <f>IF(C66&gt;20, "Hủy slot (Mưa &gt; 20mm)", "Kích hoạt")</f>
        <v/>
      </c>
      <c r="R66" s="14">
        <f>IF(C66&gt;20, 0, P66)</f>
        <v/>
      </c>
      <c r="S66" s="14">
        <f>IF(C66&gt;20, P66*0.4*Y66, 0)</f>
        <v/>
      </c>
      <c r="T66" s="14">
        <f>MAX(0, J66 - O66 - R66)</f>
        <v/>
      </c>
      <c r="U66" s="14">
        <f>O66 + R66 + T66</f>
        <v/>
      </c>
      <c r="V66" s="14" t="n">
        <v>17</v>
      </c>
      <c r="W66" s="13" t="inlineStr">
        <is>
          <t>2-4</t>
        </is>
      </c>
      <c r="X66" s="14" t="n">
        <v>2</v>
      </c>
      <c r="Y66" s="14">
        <f>IF(OR(B66&gt;=34, F66=1), 11700000, 9000000)</f>
        <v/>
      </c>
      <c r="Z66" s="14" t="n">
        <v>0.02</v>
      </c>
      <c r="AA66" s="14">
        <f>AVERAGE(J63:J65)</f>
        <v/>
      </c>
      <c r="AB66" s="14">
        <f>ABS(J66 - AA66)</f>
        <v/>
      </c>
      <c r="AC66" s="13" t="inlineStr">
        <is>
          <t>Hợp lệ</t>
        </is>
      </c>
      <c r="AD66" s="14">
        <f>IF(AA66="", 0, IF(AA66&gt;J66, (AA66-J66)*2700000, 0))</f>
        <v/>
      </c>
      <c r="AE66" s="14">
        <f>IF(AA66="", 0, IF(J66&gt;AA66, (J66-AA66)*6000000, 0))</f>
        <v/>
      </c>
      <c r="AF66" s="14">
        <f>AD66 + AE66</f>
        <v/>
      </c>
      <c r="AG66" s="14">
        <f>ABS(U66 - J66)</f>
        <v/>
      </c>
      <c r="AH66" s="14">
        <f>IF(U66&gt;J66, (U66-J66)*2700000, 0)</f>
        <v/>
      </c>
      <c r="AI66" s="14">
        <f>IF(J66&gt;U66, (J66-U66)*6000000, 0)</f>
        <v/>
      </c>
      <c r="AJ66" s="14">
        <f>AH66 + AI66 + S66</f>
        <v/>
      </c>
    </row>
    <row r="67">
      <c r="A67" s="13" t="inlineStr">
        <is>
          <t>Ngày 65 (04/07)</t>
        </is>
      </c>
      <c r="B67" s="14" t="n">
        <v>32.5</v>
      </c>
      <c r="C67" s="14" t="n">
        <v>0</v>
      </c>
      <c r="D67" s="14" t="n">
        <v>1</v>
      </c>
      <c r="E67" s="14" t="n">
        <v>371.6</v>
      </c>
      <c r="F67" s="14" t="n">
        <v>0</v>
      </c>
      <c r="G67" s="14" t="n">
        <v>333.8</v>
      </c>
      <c r="H67" s="14">
        <f>G67*IF(F67=1, 0.85, 0.8)</f>
        <v/>
      </c>
      <c r="I67" s="13" t="inlineStr">
        <is>
          <t>2-4</t>
        </is>
      </c>
      <c r="J67" s="14">
        <f>ROUNDUP(H67/17.2, 0)</f>
        <v/>
      </c>
      <c r="K67" s="14">
        <f>ROUND(TREND(G$3:G$94, E$3:E$94, E67), 1)</f>
        <v/>
      </c>
      <c r="L67" s="14">
        <f>ROUND(TREND(G$3:G$94, B$3:E$94, B67:E67), 1)</f>
        <v/>
      </c>
      <c r="M67" s="14">
        <f>ROUND(TREND(G$3:G$94, B$3:F$94, B67:F67), 1)</f>
        <v/>
      </c>
      <c r="N67" s="14">
        <f>ROUNDUP(M67*IF(F67=1, 0.85, 0.8)/17.2, 0)</f>
        <v/>
      </c>
      <c r="O67" s="14">
        <f>ROUND(N67*70%, 0)</f>
        <v/>
      </c>
      <c r="P67" s="14">
        <f>MIN(ROUNDUP(N67*0.2, 0), MAX(0, N67 - O67))</f>
        <v/>
      </c>
      <c r="Q67" s="13">
        <f>IF(C67&gt;20, "Hủy slot (Mưa &gt; 20mm)", "Kích hoạt")</f>
        <v/>
      </c>
      <c r="R67" s="14">
        <f>IF(C67&gt;20, 0, P67)</f>
        <v/>
      </c>
      <c r="S67" s="14">
        <f>IF(C67&gt;20, P67*0.4*Y67, 0)</f>
        <v/>
      </c>
      <c r="T67" s="14">
        <f>MAX(0, J67 - O67 - R67)</f>
        <v/>
      </c>
      <c r="U67" s="14">
        <f>O67 + R67 + T67</f>
        <v/>
      </c>
      <c r="V67" s="14" t="n">
        <v>18</v>
      </c>
      <c r="W67" s="13" t="inlineStr">
        <is>
          <t>2-4</t>
        </is>
      </c>
      <c r="X67" s="14" t="n">
        <v>1</v>
      </c>
      <c r="Y67" s="14">
        <f>IF(OR(B67&gt;=34, F67=1), 11700000, 9000000)</f>
        <v/>
      </c>
      <c r="Z67" s="14" t="n">
        <v>0.02</v>
      </c>
      <c r="AA67" s="14">
        <f>AVERAGE(J64:J66)</f>
        <v/>
      </c>
      <c r="AB67" s="14">
        <f>ABS(J67 - AA67)</f>
        <v/>
      </c>
      <c r="AC67" s="13" t="inlineStr">
        <is>
          <t>Hợp lệ</t>
        </is>
      </c>
      <c r="AD67" s="14">
        <f>IF(AA67="", 0, IF(AA67&gt;J67, (AA67-J67)*2700000, 0))</f>
        <v/>
      </c>
      <c r="AE67" s="14">
        <f>IF(AA67="", 0, IF(J67&gt;AA67, (J67-AA67)*6000000, 0))</f>
        <v/>
      </c>
      <c r="AF67" s="14">
        <f>AD67 + AE67</f>
        <v/>
      </c>
      <c r="AG67" s="14">
        <f>ABS(U67 - J67)</f>
        <v/>
      </c>
      <c r="AH67" s="14">
        <f>IF(U67&gt;J67, (U67-J67)*2700000, 0)</f>
        <v/>
      </c>
      <c r="AI67" s="14">
        <f>IF(J67&gt;U67, (J67-U67)*6000000, 0)</f>
        <v/>
      </c>
      <c r="AJ67" s="14">
        <f>AH67 + AI67 + S67</f>
        <v/>
      </c>
    </row>
    <row r="68">
      <c r="A68" s="13" t="inlineStr">
        <is>
          <t>Ngày 66 (05/07)</t>
        </is>
      </c>
      <c r="B68" s="14" t="n">
        <v>29.4</v>
      </c>
      <c r="C68" s="14" t="n">
        <v>0</v>
      </c>
      <c r="D68" s="14" t="n">
        <v>1</v>
      </c>
      <c r="E68" s="14" t="n">
        <v>307.5</v>
      </c>
      <c r="F68" s="14" t="n">
        <v>0</v>
      </c>
      <c r="G68" s="14" t="n">
        <v>321.5</v>
      </c>
      <c r="H68" s="14">
        <f>G68*IF(F68=1, 0.85, 0.8)</f>
        <v/>
      </c>
      <c r="I68" s="13" t="inlineStr">
        <is>
          <t>2-4</t>
        </is>
      </c>
      <c r="J68" s="14">
        <f>ROUNDUP(H68/17.2, 0)</f>
        <v/>
      </c>
      <c r="K68" s="14">
        <f>ROUND(TREND(G$3:G$94, E$3:E$94, E68), 1)</f>
        <v/>
      </c>
      <c r="L68" s="14">
        <f>ROUND(TREND(G$3:G$94, B$3:E$94, B68:E68), 1)</f>
        <v/>
      </c>
      <c r="M68" s="14">
        <f>ROUND(TREND(G$3:G$94, B$3:F$94, B68:F68), 1)</f>
        <v/>
      </c>
      <c r="N68" s="14">
        <f>ROUNDUP(M68*IF(F68=1, 0.85, 0.8)/17.2, 0)</f>
        <v/>
      </c>
      <c r="O68" s="14">
        <f>ROUND(N68*70%, 0)</f>
        <v/>
      </c>
      <c r="P68" s="14">
        <f>MIN(ROUNDUP(N68*0.2, 0), MAX(0, N68 - O68))</f>
        <v/>
      </c>
      <c r="Q68" s="13">
        <f>IF(C68&gt;20, "Hủy slot (Mưa &gt; 20mm)", "Kích hoạt")</f>
        <v/>
      </c>
      <c r="R68" s="14">
        <f>IF(C68&gt;20, 0, P68)</f>
        <v/>
      </c>
      <c r="S68" s="14">
        <f>IF(C68&gt;20, P68*0.4*Y68, 0)</f>
        <v/>
      </c>
      <c r="T68" s="14">
        <f>MAX(0, J68 - O68 - R68)</f>
        <v/>
      </c>
      <c r="U68" s="14">
        <f>O68 + R68 + T68</f>
        <v/>
      </c>
      <c r="V68" s="14" t="n">
        <v>20</v>
      </c>
      <c r="W68" s="13" t="inlineStr">
        <is>
          <t>2-4</t>
        </is>
      </c>
      <c r="X68" s="14" t="n">
        <v>3</v>
      </c>
      <c r="Y68" s="14">
        <f>IF(OR(B68&gt;=34, F68=1), 11700000, 9000000)</f>
        <v/>
      </c>
      <c r="Z68" s="14" t="n">
        <v>0.02</v>
      </c>
      <c r="AA68" s="14">
        <f>AVERAGE(J65:J67)</f>
        <v/>
      </c>
      <c r="AB68" s="14">
        <f>ABS(J68 - AA68)</f>
        <v/>
      </c>
      <c r="AC68" s="13" t="inlineStr">
        <is>
          <t>Hợp lệ</t>
        </is>
      </c>
      <c r="AD68" s="14">
        <f>IF(AA68="", 0, IF(AA68&gt;J68, (AA68-J68)*2700000, 0))</f>
        <v/>
      </c>
      <c r="AE68" s="14">
        <f>IF(AA68="", 0, IF(J68&gt;AA68, (J68-AA68)*6000000, 0))</f>
        <v/>
      </c>
      <c r="AF68" s="14">
        <f>AD68 + AE68</f>
        <v/>
      </c>
      <c r="AG68" s="14">
        <f>ABS(U68 - J68)</f>
        <v/>
      </c>
      <c r="AH68" s="14">
        <f>IF(U68&gt;J68, (U68-J68)*2700000, 0)</f>
        <v/>
      </c>
      <c r="AI68" s="14">
        <f>IF(J68&gt;U68, (J68-U68)*6000000, 0)</f>
        <v/>
      </c>
      <c r="AJ68" s="14">
        <f>AH68 + AI68 + S68</f>
        <v/>
      </c>
    </row>
    <row r="69">
      <c r="A69" s="13" t="inlineStr">
        <is>
          <t>Ngày 67 (06/07)</t>
        </is>
      </c>
      <c r="B69" s="14" t="n">
        <v>27.5</v>
      </c>
      <c r="C69" s="14" t="n">
        <v>75</v>
      </c>
      <c r="D69" s="14" t="n">
        <v>1</v>
      </c>
      <c r="E69" s="14" t="n">
        <v>339.7</v>
      </c>
      <c r="F69" s="14" t="n">
        <v>0</v>
      </c>
      <c r="G69" s="14" t="n">
        <v>146.3</v>
      </c>
      <c r="H69" s="14">
        <f>G69*IF(F69=1, 0.85, 0.8)</f>
        <v/>
      </c>
      <c r="I69" s="13" t="inlineStr">
        <is>
          <t>2-4</t>
        </is>
      </c>
      <c r="J69" s="14">
        <f>ROUNDUP(H69/17.2, 0)</f>
        <v/>
      </c>
      <c r="K69" s="14">
        <f>ROUND(TREND(G$3:G$94, E$3:E$94, E69), 1)</f>
        <v/>
      </c>
      <c r="L69" s="14">
        <f>ROUND(TREND(G$3:G$94, B$3:E$94, B69:E69), 1)</f>
        <v/>
      </c>
      <c r="M69" s="14">
        <f>ROUND(TREND(G$3:G$94, B$3:F$94, B69:F69), 1)</f>
        <v/>
      </c>
      <c r="N69" s="14">
        <f>ROUNDUP(M69*IF(F69=1, 0.85, 0.8)/17.2, 0)</f>
        <v/>
      </c>
      <c r="O69" s="14">
        <f>ROUND(N69*70%, 0)</f>
        <v/>
      </c>
      <c r="P69" s="14">
        <f>MIN(ROUNDUP(N69*0.2, 0), MAX(0, N69 - O69))</f>
        <v/>
      </c>
      <c r="Q69" s="13">
        <f>IF(C69&gt;20, "Hủy slot (Mưa &gt; 20mm)", "Kích hoạt")</f>
        <v/>
      </c>
      <c r="R69" s="14">
        <f>IF(C69&gt;20, 0, P69)</f>
        <v/>
      </c>
      <c r="S69" s="14">
        <f>IF(C69&gt;20, P69*0.4*Y69, 0)</f>
        <v/>
      </c>
      <c r="T69" s="14">
        <f>MAX(0, J69 - O69 - R69)</f>
        <v/>
      </c>
      <c r="U69" s="14">
        <f>O69 + R69 + T69</f>
        <v/>
      </c>
      <c r="V69" s="14" t="n">
        <v>9</v>
      </c>
      <c r="W69" s="13" t="inlineStr">
        <is>
          <t>2-4</t>
        </is>
      </c>
      <c r="X69" s="14" t="n">
        <v>1</v>
      </c>
      <c r="Y69" s="14">
        <f>IF(OR(B69&gt;=34, F69=1), 11700000, 9000000)</f>
        <v/>
      </c>
      <c r="Z69" s="14" t="n">
        <v>0.02</v>
      </c>
      <c r="AA69" s="14">
        <f>AVERAGE(J66:J68)</f>
        <v/>
      </c>
      <c r="AB69" s="14">
        <f>ABS(J69 - AA69)</f>
        <v/>
      </c>
      <c r="AC69" s="13" t="inlineStr">
        <is>
          <t>Hợp lệ</t>
        </is>
      </c>
      <c r="AD69" s="14">
        <f>IF(AA69="", 0, IF(AA69&gt;J69, (AA69-J69)*2700000, 0))</f>
        <v/>
      </c>
      <c r="AE69" s="14">
        <f>IF(AA69="", 0, IF(J69&gt;AA69, (J69-AA69)*6000000, 0))</f>
        <v/>
      </c>
      <c r="AF69" s="14">
        <f>AD69 + AE69</f>
        <v/>
      </c>
      <c r="AG69" s="14">
        <f>ABS(U69 - J69)</f>
        <v/>
      </c>
      <c r="AH69" s="14">
        <f>IF(U69&gt;J69, (U69-J69)*2700000, 0)</f>
        <v/>
      </c>
      <c r="AI69" s="14">
        <f>IF(J69&gt;U69, (J69-U69)*6000000, 0)</f>
        <v/>
      </c>
      <c r="AJ69" s="14">
        <f>AH69 + AI69 + S69</f>
        <v/>
      </c>
    </row>
    <row r="70">
      <c r="A70" s="13" t="inlineStr">
        <is>
          <t>Ngày 68 (07/07)</t>
        </is>
      </c>
      <c r="B70" s="14" t="n">
        <v>28.1</v>
      </c>
      <c r="C70" s="14" t="n">
        <v>0</v>
      </c>
      <c r="D70" s="14" t="n">
        <v>1</v>
      </c>
      <c r="E70" s="14" t="n">
        <v>245.3</v>
      </c>
      <c r="F70" s="14" t="n">
        <v>0</v>
      </c>
      <c r="G70" s="14" t="n">
        <v>277.4</v>
      </c>
      <c r="H70" s="14">
        <f>G70*IF(F70=1, 0.85, 0.8)</f>
        <v/>
      </c>
      <c r="I70" s="13" t="inlineStr">
        <is>
          <t>2-4</t>
        </is>
      </c>
      <c r="J70" s="14">
        <f>ROUNDUP(H70/17.2, 0)</f>
        <v/>
      </c>
      <c r="K70" s="14">
        <f>ROUND(TREND(G$3:G$94, E$3:E$94, E70), 1)</f>
        <v/>
      </c>
      <c r="L70" s="14">
        <f>ROUND(TREND(G$3:G$94, B$3:E$94, B70:E70), 1)</f>
        <v/>
      </c>
      <c r="M70" s="14">
        <f>ROUND(TREND(G$3:G$94, B$3:F$94, B70:F70), 1)</f>
        <v/>
      </c>
      <c r="N70" s="14">
        <f>ROUNDUP(M70*IF(F70=1, 0.85, 0.8)/17.2, 0)</f>
        <v/>
      </c>
      <c r="O70" s="14">
        <f>ROUND(N70*70%, 0)</f>
        <v/>
      </c>
      <c r="P70" s="14">
        <f>MIN(ROUNDUP(N70*0.2, 0), MAX(0, N70 - O70))</f>
        <v/>
      </c>
      <c r="Q70" s="13">
        <f>IF(C70&gt;20, "Hủy slot (Mưa &gt; 20mm)", "Kích hoạt")</f>
        <v/>
      </c>
      <c r="R70" s="14">
        <f>IF(C70&gt;20, 0, P70)</f>
        <v/>
      </c>
      <c r="S70" s="14">
        <f>IF(C70&gt;20, P70*0.4*Y70, 0)</f>
        <v/>
      </c>
      <c r="T70" s="14">
        <f>MAX(0, J70 - O70 - R70)</f>
        <v/>
      </c>
      <c r="U70" s="14">
        <f>O70 + R70 + T70</f>
        <v/>
      </c>
      <c r="V70" s="14" t="n">
        <v>15</v>
      </c>
      <c r="W70" s="13" t="inlineStr">
        <is>
          <t>2-4</t>
        </is>
      </c>
      <c r="X70" s="14" t="n">
        <v>3</v>
      </c>
      <c r="Y70" s="14">
        <f>IF(OR(B70&gt;=34, F70=1), 11700000, 9000000)</f>
        <v/>
      </c>
      <c r="Z70" s="14" t="n">
        <v>0.02</v>
      </c>
      <c r="AA70" s="14">
        <f>AVERAGE(J67:J69)</f>
        <v/>
      </c>
      <c r="AB70" s="14">
        <f>ABS(J70 - AA70)</f>
        <v/>
      </c>
      <c r="AC70" s="13" t="inlineStr">
        <is>
          <t>Hợp lệ</t>
        </is>
      </c>
      <c r="AD70" s="14">
        <f>IF(AA70="", 0, IF(AA70&gt;J70, (AA70-J70)*2700000, 0))</f>
        <v/>
      </c>
      <c r="AE70" s="14">
        <f>IF(AA70="", 0, IF(J70&gt;AA70, (J70-AA70)*6000000, 0))</f>
        <v/>
      </c>
      <c r="AF70" s="14">
        <f>AD70 + AE70</f>
        <v/>
      </c>
      <c r="AG70" s="14">
        <f>ABS(U70 - J70)</f>
        <v/>
      </c>
      <c r="AH70" s="14">
        <f>IF(U70&gt;J70, (U70-J70)*2700000, 0)</f>
        <v/>
      </c>
      <c r="AI70" s="14">
        <f>IF(J70&gt;U70, (J70-U70)*6000000, 0)</f>
        <v/>
      </c>
      <c r="AJ70" s="14">
        <f>AH70 + AI70 + S70</f>
        <v/>
      </c>
    </row>
    <row r="71">
      <c r="A71" s="13" t="inlineStr">
        <is>
          <t>Ngày 69 (08/07)</t>
        </is>
      </c>
      <c r="B71" s="14" t="n">
        <v>28.6</v>
      </c>
      <c r="C71" s="14" t="n">
        <v>0</v>
      </c>
      <c r="D71" s="14" t="n">
        <v>1</v>
      </c>
      <c r="E71" s="14" t="n">
        <v>242.4</v>
      </c>
      <c r="F71" s="14" t="n">
        <v>0</v>
      </c>
      <c r="G71" s="14" t="n">
        <v>266.9</v>
      </c>
      <c r="H71" s="14">
        <f>G71*IF(F71=1, 0.85, 0.8)</f>
        <v/>
      </c>
      <c r="I71" s="13" t="inlineStr">
        <is>
          <t>2-4</t>
        </is>
      </c>
      <c r="J71" s="14">
        <f>ROUNDUP(H71/17.2, 0)</f>
        <v/>
      </c>
      <c r="K71" s="14">
        <f>ROUND(TREND(G$3:G$94, E$3:E$94, E71), 1)</f>
        <v/>
      </c>
      <c r="L71" s="14">
        <f>ROUND(TREND(G$3:G$94, B$3:E$94, B71:E71), 1)</f>
        <v/>
      </c>
      <c r="M71" s="14">
        <f>ROUND(TREND(G$3:G$94, B$3:F$94, B71:F71), 1)</f>
        <v/>
      </c>
      <c r="N71" s="14">
        <f>ROUNDUP(M71*IF(F71=1, 0.85, 0.8)/17.2, 0)</f>
        <v/>
      </c>
      <c r="O71" s="14">
        <f>ROUND(N71*70%, 0)</f>
        <v/>
      </c>
      <c r="P71" s="14">
        <f>MIN(ROUNDUP(N71*0.2, 0), MAX(0, N71 - O71))</f>
        <v/>
      </c>
      <c r="Q71" s="13">
        <f>IF(C71&gt;20, "Hủy slot (Mưa &gt; 20mm)", "Kích hoạt")</f>
        <v/>
      </c>
      <c r="R71" s="14">
        <f>IF(C71&gt;20, 0, P71)</f>
        <v/>
      </c>
      <c r="S71" s="14">
        <f>IF(C71&gt;20, P71*0.4*Y71, 0)</f>
        <v/>
      </c>
      <c r="T71" s="14">
        <f>MAX(0, J71 - O71 - R71)</f>
        <v/>
      </c>
      <c r="U71" s="14">
        <f>O71 + R71 + T71</f>
        <v/>
      </c>
      <c r="V71" s="14" t="n">
        <v>16</v>
      </c>
      <c r="W71" s="13" t="inlineStr">
        <is>
          <t>2-4</t>
        </is>
      </c>
      <c r="X71" s="14" t="n">
        <v>1</v>
      </c>
      <c r="Y71" s="14">
        <f>IF(OR(B71&gt;=34, F71=1), 11700000, 9000000)</f>
        <v/>
      </c>
      <c r="Z71" s="14" t="n">
        <v>0.02</v>
      </c>
      <c r="AA71" s="14">
        <f>AVERAGE(J68:J70)</f>
        <v/>
      </c>
      <c r="AB71" s="14">
        <f>ABS(J71 - AA71)</f>
        <v/>
      </c>
      <c r="AC71" s="13" t="inlineStr">
        <is>
          <t>Hợp lệ</t>
        </is>
      </c>
      <c r="AD71" s="14">
        <f>IF(AA71="", 0, IF(AA71&gt;J71, (AA71-J71)*2700000, 0))</f>
        <v/>
      </c>
      <c r="AE71" s="14">
        <f>IF(AA71="", 0, IF(J71&gt;AA71, (J71-AA71)*6000000, 0))</f>
        <v/>
      </c>
      <c r="AF71" s="14">
        <f>AD71 + AE71</f>
        <v/>
      </c>
      <c r="AG71" s="14">
        <f>ABS(U71 - J71)</f>
        <v/>
      </c>
      <c r="AH71" s="14">
        <f>IF(U71&gt;J71, (U71-J71)*2700000, 0)</f>
        <v/>
      </c>
      <c r="AI71" s="14">
        <f>IF(J71&gt;U71, (J71-U71)*6000000, 0)</f>
        <v/>
      </c>
      <c r="AJ71" s="14">
        <f>AH71 + AI71 + S71</f>
        <v/>
      </c>
    </row>
    <row r="72">
      <c r="A72" s="13" t="inlineStr">
        <is>
          <t>Ngày 70 (09/07)</t>
        </is>
      </c>
      <c r="B72" s="14" t="n">
        <v>31.1</v>
      </c>
      <c r="C72" s="14" t="n">
        <v>0</v>
      </c>
      <c r="D72" s="14" t="n">
        <v>1</v>
      </c>
      <c r="E72" s="14" t="n">
        <v>260.7</v>
      </c>
      <c r="F72" s="14" t="n">
        <v>1</v>
      </c>
      <c r="G72" s="14" t="n">
        <v>298</v>
      </c>
      <c r="H72" s="14">
        <f>G72*IF(F72=1, 0.85, 0.8)</f>
        <v/>
      </c>
      <c r="I72" s="13" t="inlineStr">
        <is>
          <t>2-4</t>
        </is>
      </c>
      <c r="J72" s="14">
        <f>ROUNDUP(H72/17.2, 0)</f>
        <v/>
      </c>
      <c r="K72" s="14">
        <f>ROUND(TREND(G$3:G$94, E$3:E$94, E72), 1)</f>
        <v/>
      </c>
      <c r="L72" s="14">
        <f>ROUND(TREND(G$3:G$94, B$3:E$94, B72:E72), 1)</f>
        <v/>
      </c>
      <c r="M72" s="14">
        <f>ROUND(TREND(G$3:G$94, B$3:F$94, B72:F72), 1)</f>
        <v/>
      </c>
      <c r="N72" s="14">
        <f>ROUNDUP(M72*IF(F72=1, 0.85, 0.8)/17.2, 0)</f>
        <v/>
      </c>
      <c r="O72" s="14">
        <f>ROUND(N72*70%, 0)</f>
        <v/>
      </c>
      <c r="P72" s="14">
        <f>MIN(ROUNDUP(N72*0.2, 0), MAX(0, N72 - O72))</f>
        <v/>
      </c>
      <c r="Q72" s="13">
        <f>IF(C72&gt;20, "Hủy slot (Mưa &gt; 20mm)", "Kích hoạt")</f>
        <v/>
      </c>
      <c r="R72" s="14">
        <f>IF(C72&gt;20, 0, P72)</f>
        <v/>
      </c>
      <c r="S72" s="14">
        <f>IF(C72&gt;20, P72*0.4*Y72, 0)</f>
        <v/>
      </c>
      <c r="T72" s="14">
        <f>MAX(0, J72 - O72 - R72)</f>
        <v/>
      </c>
      <c r="U72" s="14">
        <f>O72 + R72 + T72</f>
        <v/>
      </c>
      <c r="V72" s="14" t="n">
        <v>20</v>
      </c>
      <c r="W72" s="13" t="inlineStr">
        <is>
          <t>2-4</t>
        </is>
      </c>
      <c r="X72" s="14" t="n">
        <v>3</v>
      </c>
      <c r="Y72" s="14">
        <f>IF(OR(B72&gt;=34, F72=1), 11700000, 9000000)</f>
        <v/>
      </c>
      <c r="Z72" s="14" t="n">
        <v>0.02</v>
      </c>
      <c r="AA72" s="14">
        <f>AVERAGE(J69:J71)</f>
        <v/>
      </c>
      <c r="AB72" s="14">
        <f>ABS(J72 - AA72)</f>
        <v/>
      </c>
      <c r="AC72" s="13" t="inlineStr">
        <is>
          <t>Hợp lệ</t>
        </is>
      </c>
      <c r="AD72" s="14">
        <f>IF(AA72="", 0, IF(AA72&gt;J72, (AA72-J72)*2700000, 0))</f>
        <v/>
      </c>
      <c r="AE72" s="14">
        <f>IF(AA72="", 0, IF(J72&gt;AA72, (J72-AA72)*6000000, 0))</f>
        <v/>
      </c>
      <c r="AF72" s="14">
        <f>AD72 + AE72</f>
        <v/>
      </c>
      <c r="AG72" s="14">
        <f>ABS(U72 - J72)</f>
        <v/>
      </c>
      <c r="AH72" s="14">
        <f>IF(U72&gt;J72, (U72-J72)*2700000, 0)</f>
        <v/>
      </c>
      <c r="AI72" s="14">
        <f>IF(J72&gt;U72, (J72-U72)*6000000, 0)</f>
        <v/>
      </c>
      <c r="AJ72" s="14">
        <f>AH72 + AI72 + S72</f>
        <v/>
      </c>
    </row>
    <row r="73">
      <c r="A73" s="13" t="inlineStr">
        <is>
          <t>Ngày 71 (10/07)</t>
        </is>
      </c>
      <c r="B73" s="14" t="n">
        <v>29</v>
      </c>
      <c r="C73" s="14" t="n">
        <v>15</v>
      </c>
      <c r="D73" s="14" t="n">
        <v>1</v>
      </c>
      <c r="E73" s="14" t="n">
        <v>284.8</v>
      </c>
      <c r="F73" s="14" t="n">
        <v>1</v>
      </c>
      <c r="G73" s="14" t="n">
        <v>270.1</v>
      </c>
      <c r="H73" s="14">
        <f>G73*IF(F73=1, 0.85, 0.8)</f>
        <v/>
      </c>
      <c r="I73" s="13" t="inlineStr">
        <is>
          <t>2-4</t>
        </is>
      </c>
      <c r="J73" s="14">
        <f>ROUNDUP(H73/17.2, 0)</f>
        <v/>
      </c>
      <c r="K73" s="14">
        <f>ROUND(TREND(G$3:G$94, E$3:E$94, E73), 1)</f>
        <v/>
      </c>
      <c r="L73" s="14">
        <f>ROUND(TREND(G$3:G$94, B$3:E$94, B73:E73), 1)</f>
        <v/>
      </c>
      <c r="M73" s="14">
        <f>ROUND(TREND(G$3:G$94, B$3:F$94, B73:F73), 1)</f>
        <v/>
      </c>
      <c r="N73" s="14">
        <f>ROUNDUP(M73*IF(F73=1, 0.85, 0.8)/17.2, 0)</f>
        <v/>
      </c>
      <c r="O73" s="14">
        <f>ROUND(N73*70%, 0)</f>
        <v/>
      </c>
      <c r="P73" s="14">
        <f>MIN(ROUNDUP(N73*0.2, 0), MAX(0, N73 - O73))</f>
        <v/>
      </c>
      <c r="Q73" s="13">
        <f>IF(C73&gt;20, "Hủy slot (Mưa &gt; 20mm)", "Kích hoạt")</f>
        <v/>
      </c>
      <c r="R73" s="14">
        <f>IF(C73&gt;20, 0, P73)</f>
        <v/>
      </c>
      <c r="S73" s="14">
        <f>IF(C73&gt;20, P73*0.4*Y73, 0)</f>
        <v/>
      </c>
      <c r="T73" s="14">
        <f>MAX(0, J73 - O73 - R73)</f>
        <v/>
      </c>
      <c r="U73" s="14">
        <f>O73 + R73 + T73</f>
        <v/>
      </c>
      <c r="V73" s="14" t="n">
        <v>16</v>
      </c>
      <c r="W73" s="13" t="inlineStr">
        <is>
          <t>2-4</t>
        </is>
      </c>
      <c r="X73" s="14" t="n">
        <v>2</v>
      </c>
      <c r="Y73" s="14">
        <f>IF(OR(B73&gt;=34, F73=1), 11700000, 9000000)</f>
        <v/>
      </c>
      <c r="Z73" s="14" t="n">
        <v>0.02</v>
      </c>
      <c r="AA73" s="14">
        <f>AVERAGE(J70:J72)</f>
        <v/>
      </c>
      <c r="AB73" s="14">
        <f>ABS(J73 - AA73)</f>
        <v/>
      </c>
      <c r="AC73" s="13" t="inlineStr">
        <is>
          <t>Hợp lệ</t>
        </is>
      </c>
      <c r="AD73" s="14">
        <f>IF(AA73="", 0, IF(AA73&gt;J73, (AA73-J73)*2700000, 0))</f>
        <v/>
      </c>
      <c r="AE73" s="14">
        <f>IF(AA73="", 0, IF(J73&gt;AA73, (J73-AA73)*6000000, 0))</f>
        <v/>
      </c>
      <c r="AF73" s="14">
        <f>AD73 + AE73</f>
        <v/>
      </c>
      <c r="AG73" s="14">
        <f>ABS(U73 - J73)</f>
        <v/>
      </c>
      <c r="AH73" s="14">
        <f>IF(U73&gt;J73, (U73-J73)*2700000, 0)</f>
        <v/>
      </c>
      <c r="AI73" s="14">
        <f>IF(J73&gt;U73, (J73-U73)*6000000, 0)</f>
        <v/>
      </c>
      <c r="AJ73" s="14">
        <f>AH73 + AI73 + S73</f>
        <v/>
      </c>
    </row>
    <row r="74">
      <c r="A74" s="13" t="inlineStr">
        <is>
          <t>Ngày 72 (11/07)</t>
        </is>
      </c>
      <c r="B74" s="14" t="n">
        <v>32.2</v>
      </c>
      <c r="C74" s="14" t="n">
        <v>0</v>
      </c>
      <c r="D74" s="14" t="n">
        <v>1</v>
      </c>
      <c r="E74" s="14" t="n">
        <v>235.6</v>
      </c>
      <c r="F74" s="14" t="n">
        <v>0</v>
      </c>
      <c r="G74" s="14" t="n">
        <v>235.9</v>
      </c>
      <c r="H74" s="14">
        <f>G74*IF(F74=1, 0.85, 0.8)</f>
        <v/>
      </c>
      <c r="I74" s="13" t="inlineStr">
        <is>
          <t>2-4</t>
        </is>
      </c>
      <c r="J74" s="14">
        <f>ROUNDUP(H74/17.2, 0)</f>
        <v/>
      </c>
      <c r="K74" s="14">
        <f>ROUND(TREND(G$3:G$94, E$3:E$94, E74), 1)</f>
        <v/>
      </c>
      <c r="L74" s="14">
        <f>ROUND(TREND(G$3:G$94, B$3:E$94, B74:E74), 1)</f>
        <v/>
      </c>
      <c r="M74" s="14">
        <f>ROUND(TREND(G$3:G$94, B$3:F$94, B74:F74), 1)</f>
        <v/>
      </c>
      <c r="N74" s="14">
        <f>ROUNDUP(M74*IF(F74=1, 0.85, 0.8)/17.2, 0)</f>
        <v/>
      </c>
      <c r="O74" s="14">
        <f>ROUND(N74*70%, 0)</f>
        <v/>
      </c>
      <c r="P74" s="14">
        <f>MIN(ROUNDUP(N74*0.2, 0), MAX(0, N74 - O74))</f>
        <v/>
      </c>
      <c r="Q74" s="13">
        <f>IF(C74&gt;20, "Hủy slot (Mưa &gt; 20mm)", "Kích hoạt")</f>
        <v/>
      </c>
      <c r="R74" s="14">
        <f>IF(C74&gt;20, 0, P74)</f>
        <v/>
      </c>
      <c r="S74" s="14">
        <f>IF(C74&gt;20, P74*0.4*Y74, 0)</f>
        <v/>
      </c>
      <c r="T74" s="14">
        <f>MAX(0, J74 - O74 - R74)</f>
        <v/>
      </c>
      <c r="U74" s="14">
        <f>O74 + R74 + T74</f>
        <v/>
      </c>
      <c r="V74" s="14" t="n">
        <v>16</v>
      </c>
      <c r="W74" s="13" t="inlineStr">
        <is>
          <t>2-4</t>
        </is>
      </c>
      <c r="X74" s="14" t="n">
        <v>1</v>
      </c>
      <c r="Y74" s="14">
        <f>IF(OR(B74&gt;=34, F74=1), 11700000, 9000000)</f>
        <v/>
      </c>
      <c r="Z74" s="14" t="n">
        <v>0.02</v>
      </c>
      <c r="AA74" s="14">
        <f>AVERAGE(J71:J73)</f>
        <v/>
      </c>
      <c r="AB74" s="14">
        <f>ABS(J74 - AA74)</f>
        <v/>
      </c>
      <c r="AC74" s="13" t="inlineStr">
        <is>
          <t>Hợp lệ</t>
        </is>
      </c>
      <c r="AD74" s="14">
        <f>IF(AA74="", 0, IF(AA74&gt;J74, (AA74-J74)*2700000, 0))</f>
        <v/>
      </c>
      <c r="AE74" s="14">
        <f>IF(AA74="", 0, IF(J74&gt;AA74, (J74-AA74)*6000000, 0))</f>
        <v/>
      </c>
      <c r="AF74" s="14">
        <f>AD74 + AE74</f>
        <v/>
      </c>
      <c r="AG74" s="14">
        <f>ABS(U74 - J74)</f>
        <v/>
      </c>
      <c r="AH74" s="14">
        <f>IF(U74&gt;J74, (U74-J74)*2700000, 0)</f>
        <v/>
      </c>
      <c r="AI74" s="14">
        <f>IF(J74&gt;U74, (J74-U74)*6000000, 0)</f>
        <v/>
      </c>
      <c r="AJ74" s="14">
        <f>AH74 + AI74 + S74</f>
        <v/>
      </c>
    </row>
    <row r="75">
      <c r="A75" s="13" t="inlineStr">
        <is>
          <t>Ngày 73 (12/07)</t>
        </is>
      </c>
      <c r="B75" s="14" t="n">
        <v>29.1</v>
      </c>
      <c r="C75" s="14" t="n">
        <v>0</v>
      </c>
      <c r="D75" s="14" t="n">
        <v>1</v>
      </c>
      <c r="E75" s="14" t="n">
        <v>215.4</v>
      </c>
      <c r="F75" s="14" t="n">
        <v>0</v>
      </c>
      <c r="G75" s="14" t="n">
        <v>223.7</v>
      </c>
      <c r="H75" s="14">
        <f>G75*IF(F75=1, 0.85, 0.8)</f>
        <v/>
      </c>
      <c r="I75" s="13" t="inlineStr">
        <is>
          <t>2-4</t>
        </is>
      </c>
      <c r="J75" s="14">
        <f>ROUNDUP(H75/17.2, 0)</f>
        <v/>
      </c>
      <c r="K75" s="14">
        <f>ROUND(TREND(G$3:G$94, E$3:E$94, E75), 1)</f>
        <v/>
      </c>
      <c r="L75" s="14">
        <f>ROUND(TREND(G$3:G$94, B$3:E$94, B75:E75), 1)</f>
        <v/>
      </c>
      <c r="M75" s="14">
        <f>ROUND(TREND(G$3:G$94, B$3:F$94, B75:F75), 1)</f>
        <v/>
      </c>
      <c r="N75" s="14">
        <f>ROUNDUP(M75*IF(F75=1, 0.85, 0.8)/17.2, 0)</f>
        <v/>
      </c>
      <c r="O75" s="14">
        <f>ROUND(N75*70%, 0)</f>
        <v/>
      </c>
      <c r="P75" s="14">
        <f>MIN(ROUNDUP(N75*0.2, 0), MAX(0, N75 - O75))</f>
        <v/>
      </c>
      <c r="Q75" s="13">
        <f>IF(C75&gt;20, "Hủy slot (Mưa &gt; 20mm)", "Kích hoạt")</f>
        <v/>
      </c>
      <c r="R75" s="14">
        <f>IF(C75&gt;20, 0, P75)</f>
        <v/>
      </c>
      <c r="S75" s="14">
        <f>IF(C75&gt;20, P75*0.4*Y75, 0)</f>
        <v/>
      </c>
      <c r="T75" s="14">
        <f>MAX(0, J75 - O75 - R75)</f>
        <v/>
      </c>
      <c r="U75" s="14">
        <f>O75 + R75 + T75</f>
        <v/>
      </c>
      <c r="V75" s="14" t="n">
        <v>16</v>
      </c>
      <c r="W75" s="13" t="inlineStr">
        <is>
          <t>2-4</t>
        </is>
      </c>
      <c r="X75" s="14" t="n">
        <v>2</v>
      </c>
      <c r="Y75" s="14">
        <f>IF(OR(B75&gt;=34, F75=1), 11700000, 9000000)</f>
        <v/>
      </c>
      <c r="Z75" s="14" t="n">
        <v>0.02</v>
      </c>
      <c r="AA75" s="14">
        <f>AVERAGE(J72:J74)</f>
        <v/>
      </c>
      <c r="AB75" s="14">
        <f>ABS(J75 - AA75)</f>
        <v/>
      </c>
      <c r="AC75" s="13" t="inlineStr">
        <is>
          <t>Hợp lệ</t>
        </is>
      </c>
      <c r="AD75" s="14">
        <f>IF(AA75="", 0, IF(AA75&gt;J75, (AA75-J75)*2700000, 0))</f>
        <v/>
      </c>
      <c r="AE75" s="14">
        <f>IF(AA75="", 0, IF(J75&gt;AA75, (J75-AA75)*6000000, 0))</f>
        <v/>
      </c>
      <c r="AF75" s="14">
        <f>AD75 + AE75</f>
        <v/>
      </c>
      <c r="AG75" s="14">
        <f>ABS(U75 - J75)</f>
        <v/>
      </c>
      <c r="AH75" s="14">
        <f>IF(U75&gt;J75, (U75-J75)*2700000, 0)</f>
        <v/>
      </c>
      <c r="AI75" s="14">
        <f>IF(J75&gt;U75, (J75-U75)*6000000, 0)</f>
        <v/>
      </c>
      <c r="AJ75" s="14">
        <f>AH75 + AI75 + S75</f>
        <v/>
      </c>
    </row>
    <row r="76">
      <c r="A76" s="13" t="inlineStr">
        <is>
          <t>Ngày 74 (13/07)</t>
        </is>
      </c>
      <c r="B76" s="14" t="n">
        <v>31.1</v>
      </c>
      <c r="C76" s="14" t="n">
        <v>0</v>
      </c>
      <c r="D76" s="14" t="n">
        <v>1</v>
      </c>
      <c r="E76" s="14" t="n">
        <v>199.4</v>
      </c>
      <c r="F76" s="14" t="n">
        <v>0</v>
      </c>
      <c r="G76" s="14" t="n">
        <v>203.3</v>
      </c>
      <c r="H76" s="14">
        <f>G76*IF(F76=1, 0.85, 0.8)</f>
        <v/>
      </c>
      <c r="I76" s="13" t="inlineStr">
        <is>
          <t>2-4</t>
        </is>
      </c>
      <c r="J76" s="14">
        <f>ROUNDUP(H76/17.2, 0)</f>
        <v/>
      </c>
      <c r="K76" s="14">
        <f>ROUND(TREND(G$3:G$94, E$3:E$94, E76), 1)</f>
        <v/>
      </c>
      <c r="L76" s="14">
        <f>ROUND(TREND(G$3:G$94, B$3:E$94, B76:E76), 1)</f>
        <v/>
      </c>
      <c r="M76" s="14">
        <f>ROUND(TREND(G$3:G$94, B$3:F$94, B76:F76), 1)</f>
        <v/>
      </c>
      <c r="N76" s="14">
        <f>ROUNDUP(M76*IF(F76=1, 0.85, 0.8)/17.2, 0)</f>
        <v/>
      </c>
      <c r="O76" s="14">
        <f>ROUND(N76*70%, 0)</f>
        <v/>
      </c>
      <c r="P76" s="14">
        <f>MIN(ROUNDUP(N76*0.2, 0), MAX(0, N76 - O76))</f>
        <v/>
      </c>
      <c r="Q76" s="13">
        <f>IF(C76&gt;20, "Hủy slot (Mưa &gt; 20mm)", "Kích hoạt")</f>
        <v/>
      </c>
      <c r="R76" s="14">
        <f>IF(C76&gt;20, 0, P76)</f>
        <v/>
      </c>
      <c r="S76" s="14">
        <f>IF(C76&gt;20, P76*0.4*Y76, 0)</f>
        <v/>
      </c>
      <c r="T76" s="14">
        <f>MAX(0, J76 - O76 - R76)</f>
        <v/>
      </c>
      <c r="U76" s="14">
        <f>O76 + R76 + T76</f>
        <v/>
      </c>
      <c r="V76" s="14" t="n">
        <v>15</v>
      </c>
      <c r="W76" s="13" t="inlineStr">
        <is>
          <t>2-4</t>
        </is>
      </c>
      <c r="X76" s="14" t="n">
        <v>1</v>
      </c>
      <c r="Y76" s="14">
        <f>IF(OR(B76&gt;=34, F76=1), 11700000, 9000000)</f>
        <v/>
      </c>
      <c r="Z76" s="14" t="n">
        <v>0.02</v>
      </c>
      <c r="AA76" s="14">
        <f>AVERAGE(J73:J75)</f>
        <v/>
      </c>
      <c r="AB76" s="14">
        <f>ABS(J76 - AA76)</f>
        <v/>
      </c>
      <c r="AC76" s="13" t="inlineStr">
        <is>
          <t>Hợp lệ</t>
        </is>
      </c>
      <c r="AD76" s="14">
        <f>IF(AA76="", 0, IF(AA76&gt;J76, (AA76-J76)*2700000, 0))</f>
        <v/>
      </c>
      <c r="AE76" s="14">
        <f>IF(AA76="", 0, IF(J76&gt;AA76, (J76-AA76)*6000000, 0))</f>
        <v/>
      </c>
      <c r="AF76" s="14">
        <f>AD76 + AE76</f>
        <v/>
      </c>
      <c r="AG76" s="14">
        <f>ABS(U76 - J76)</f>
        <v/>
      </c>
      <c r="AH76" s="14">
        <f>IF(U76&gt;J76, (U76-J76)*2700000, 0)</f>
        <v/>
      </c>
      <c r="AI76" s="14">
        <f>IF(J76&gt;U76, (J76-U76)*6000000, 0)</f>
        <v/>
      </c>
      <c r="AJ76" s="14">
        <f>AH76 + AI76 + S76</f>
        <v/>
      </c>
    </row>
    <row r="77">
      <c r="A77" s="13" t="inlineStr">
        <is>
          <t>Ngày 75 (14/07)</t>
        </is>
      </c>
      <c r="B77" s="14" t="n">
        <v>27.5</v>
      </c>
      <c r="C77" s="14" t="n">
        <v>60</v>
      </c>
      <c r="D77" s="14" t="n">
        <v>1</v>
      </c>
      <c r="E77" s="14" t="n">
        <v>202.3</v>
      </c>
      <c r="F77" s="14" t="n">
        <v>0</v>
      </c>
      <c r="G77" s="14" t="n">
        <v>86.90000000000001</v>
      </c>
      <c r="H77" s="14">
        <f>G77*IF(F77=1, 0.85, 0.8)</f>
        <v/>
      </c>
      <c r="I77" s="13" t="inlineStr">
        <is>
          <t>2-4</t>
        </is>
      </c>
      <c r="J77" s="14">
        <f>ROUNDUP(H77/17.2, 0)</f>
        <v/>
      </c>
      <c r="K77" s="14">
        <f>ROUND(TREND(G$3:G$94, E$3:E$94, E77), 1)</f>
        <v/>
      </c>
      <c r="L77" s="14">
        <f>ROUND(TREND(G$3:G$94, B$3:E$94, B77:E77), 1)</f>
        <v/>
      </c>
      <c r="M77" s="14">
        <f>ROUND(TREND(G$3:G$94, B$3:F$94, B77:F77), 1)</f>
        <v/>
      </c>
      <c r="N77" s="14">
        <f>ROUNDUP(M77*IF(F77=1, 0.85, 0.8)/17.2, 0)</f>
        <v/>
      </c>
      <c r="O77" s="14">
        <f>ROUND(N77*70%, 0)</f>
        <v/>
      </c>
      <c r="P77" s="14">
        <f>MIN(ROUNDUP(N77*0.2, 0), MAX(0, N77 - O77))</f>
        <v/>
      </c>
      <c r="Q77" s="13">
        <f>IF(C77&gt;20, "Hủy slot (Mưa &gt; 20mm)", "Kích hoạt")</f>
        <v/>
      </c>
      <c r="R77" s="14">
        <f>IF(C77&gt;20, 0, P77)</f>
        <v/>
      </c>
      <c r="S77" s="14">
        <f>IF(C77&gt;20, P77*0.4*Y77, 0)</f>
        <v/>
      </c>
      <c r="T77" s="14">
        <f>MAX(0, J77 - O77 - R77)</f>
        <v/>
      </c>
      <c r="U77" s="14">
        <f>O77 + R77 + T77</f>
        <v/>
      </c>
      <c r="V77" s="14" t="n">
        <v>7</v>
      </c>
      <c r="W77" s="13" t="inlineStr">
        <is>
          <t>2-4</t>
        </is>
      </c>
      <c r="X77" s="14" t="n">
        <v>3</v>
      </c>
      <c r="Y77" s="14">
        <f>IF(OR(B77&gt;=34, F77=1), 11700000, 9000000)</f>
        <v/>
      </c>
      <c r="Z77" s="14" t="n">
        <v>0.02</v>
      </c>
      <c r="AA77" s="14">
        <f>AVERAGE(J74:J76)</f>
        <v/>
      </c>
      <c r="AB77" s="14">
        <f>ABS(J77 - AA77)</f>
        <v/>
      </c>
      <c r="AC77" s="13" t="inlineStr">
        <is>
          <t>Hợp lệ</t>
        </is>
      </c>
      <c r="AD77" s="14">
        <f>IF(AA77="", 0, IF(AA77&gt;J77, (AA77-J77)*2700000, 0))</f>
        <v/>
      </c>
      <c r="AE77" s="14">
        <f>IF(AA77="", 0, IF(J77&gt;AA77, (J77-AA77)*6000000, 0))</f>
        <v/>
      </c>
      <c r="AF77" s="14">
        <f>AD77 + AE77</f>
        <v/>
      </c>
      <c r="AG77" s="14">
        <f>ABS(U77 - J77)</f>
        <v/>
      </c>
      <c r="AH77" s="14">
        <f>IF(U77&gt;J77, (U77-J77)*2700000, 0)</f>
        <v/>
      </c>
      <c r="AI77" s="14">
        <f>IF(J77&gt;U77, (J77-U77)*6000000, 0)</f>
        <v/>
      </c>
      <c r="AJ77" s="14">
        <f>AH77 + AI77 + S77</f>
        <v/>
      </c>
    </row>
    <row r="78">
      <c r="A78" s="13" t="inlineStr">
        <is>
          <t>Ngày 76 (15/07)</t>
        </is>
      </c>
      <c r="B78" s="14" t="n">
        <v>29.2</v>
      </c>
      <c r="C78" s="14" t="n">
        <v>0</v>
      </c>
      <c r="D78" s="14" t="n">
        <v>1</v>
      </c>
      <c r="E78" s="14" t="n">
        <v>179.2</v>
      </c>
      <c r="F78" s="14" t="n">
        <v>0</v>
      </c>
      <c r="G78" s="14" t="n">
        <v>180.8</v>
      </c>
      <c r="H78" s="14">
        <f>G78*IF(F78=1, 0.85, 0.8)</f>
        <v/>
      </c>
      <c r="I78" s="13" t="inlineStr">
        <is>
          <t>2-4</t>
        </is>
      </c>
      <c r="J78" s="14">
        <f>ROUNDUP(H78/17.2, 0)</f>
        <v/>
      </c>
      <c r="K78" s="14">
        <f>ROUND(TREND(G$3:G$94, E$3:E$94, E78), 1)</f>
        <v/>
      </c>
      <c r="L78" s="14">
        <f>ROUND(TREND(G$3:G$94, B$3:E$94, B78:E78), 1)</f>
        <v/>
      </c>
      <c r="M78" s="14">
        <f>ROUND(TREND(G$3:G$94, B$3:F$94, B78:F78), 1)</f>
        <v/>
      </c>
      <c r="N78" s="14">
        <f>ROUNDUP(M78*IF(F78=1, 0.85, 0.8)/17.2, 0)</f>
        <v/>
      </c>
      <c r="O78" s="14">
        <f>ROUND(N78*70%, 0)</f>
        <v/>
      </c>
      <c r="P78" s="14">
        <f>MIN(ROUNDUP(N78*0.2, 0), MAX(0, N78 - O78))</f>
        <v/>
      </c>
      <c r="Q78" s="13">
        <f>IF(C78&gt;20, "Hủy slot (Mưa &gt; 20mm)", "Kích hoạt")</f>
        <v/>
      </c>
      <c r="R78" s="14">
        <f>IF(C78&gt;20, 0, P78)</f>
        <v/>
      </c>
      <c r="S78" s="14">
        <f>IF(C78&gt;20, P78*0.4*Y78, 0)</f>
        <v/>
      </c>
      <c r="T78" s="14">
        <f>MAX(0, J78 - O78 - R78)</f>
        <v/>
      </c>
      <c r="U78" s="14">
        <f>O78 + R78 + T78</f>
        <v/>
      </c>
      <c r="V78" s="14" t="n">
        <v>13</v>
      </c>
      <c r="W78" s="13" t="inlineStr">
        <is>
          <t>2-4</t>
        </is>
      </c>
      <c r="X78" s="14" t="n">
        <v>1</v>
      </c>
      <c r="Y78" s="14">
        <f>IF(OR(B78&gt;=34, F78=1), 11700000, 9000000)</f>
        <v/>
      </c>
      <c r="Z78" s="14" t="n">
        <v>0.02</v>
      </c>
      <c r="AA78" s="14">
        <f>AVERAGE(J75:J77)</f>
        <v/>
      </c>
      <c r="AB78" s="14">
        <f>ABS(J78 - AA78)</f>
        <v/>
      </c>
      <c r="AC78" s="13" t="inlineStr">
        <is>
          <t>Hợp lệ</t>
        </is>
      </c>
      <c r="AD78" s="14">
        <f>IF(AA78="", 0, IF(AA78&gt;J78, (AA78-J78)*2700000, 0))</f>
        <v/>
      </c>
      <c r="AE78" s="14">
        <f>IF(AA78="", 0, IF(J78&gt;AA78, (J78-AA78)*6000000, 0))</f>
        <v/>
      </c>
      <c r="AF78" s="14">
        <f>AD78 + AE78</f>
        <v/>
      </c>
      <c r="AG78" s="14">
        <f>ABS(U78 - J78)</f>
        <v/>
      </c>
      <c r="AH78" s="14">
        <f>IF(U78&gt;J78, (U78-J78)*2700000, 0)</f>
        <v/>
      </c>
      <c r="AI78" s="14">
        <f>IF(J78&gt;U78, (J78-U78)*6000000, 0)</f>
        <v/>
      </c>
      <c r="AJ78" s="14">
        <f>AH78 + AI78 + S78</f>
        <v/>
      </c>
    </row>
    <row r="79">
      <c r="A79" s="13" t="inlineStr">
        <is>
          <t>Ngày 77 (16/07)</t>
        </is>
      </c>
      <c r="B79" s="14" t="n">
        <v>29.9</v>
      </c>
      <c r="C79" s="14" t="n">
        <v>0</v>
      </c>
      <c r="D79" s="14" t="n">
        <v>1</v>
      </c>
      <c r="E79" s="14" t="n">
        <v>194.9</v>
      </c>
      <c r="F79" s="14" t="n">
        <v>1</v>
      </c>
      <c r="G79" s="14" t="n">
        <v>198.5</v>
      </c>
      <c r="H79" s="14">
        <f>G79*IF(F79=1, 0.85, 0.8)</f>
        <v/>
      </c>
      <c r="I79" s="13" t="inlineStr">
        <is>
          <t>2-4</t>
        </is>
      </c>
      <c r="J79" s="14">
        <f>ROUNDUP(H79/17.2, 0)</f>
        <v/>
      </c>
      <c r="K79" s="14">
        <f>ROUND(TREND(G$3:G$94, E$3:E$94, E79), 1)</f>
        <v/>
      </c>
      <c r="L79" s="14">
        <f>ROUND(TREND(G$3:G$94, B$3:E$94, B79:E79), 1)</f>
        <v/>
      </c>
      <c r="M79" s="14">
        <f>ROUND(TREND(G$3:G$94, B$3:F$94, B79:F79), 1)</f>
        <v/>
      </c>
      <c r="N79" s="14">
        <f>ROUNDUP(M79*IF(F79=1, 0.85, 0.8)/17.2, 0)</f>
        <v/>
      </c>
      <c r="O79" s="14">
        <f>ROUND(N79*70%, 0)</f>
        <v/>
      </c>
      <c r="P79" s="14">
        <f>MIN(ROUNDUP(N79*0.2, 0), MAX(0, N79 - O79))</f>
        <v/>
      </c>
      <c r="Q79" s="13">
        <f>IF(C79&gt;20, "Hủy slot (Mưa &gt; 20mm)", "Kích hoạt")</f>
        <v/>
      </c>
      <c r="R79" s="14">
        <f>IF(C79&gt;20, 0, P79)</f>
        <v/>
      </c>
      <c r="S79" s="14">
        <f>IF(C79&gt;20, P79*0.4*Y79, 0)</f>
        <v/>
      </c>
      <c r="T79" s="14">
        <f>MAX(0, J79 - O79 - R79)</f>
        <v/>
      </c>
      <c r="U79" s="14">
        <f>O79 + R79 + T79</f>
        <v/>
      </c>
      <c r="V79" s="14" t="n">
        <v>12</v>
      </c>
      <c r="W79" s="13" t="inlineStr">
        <is>
          <t>2-4</t>
        </is>
      </c>
      <c r="X79" s="14" t="n">
        <v>3</v>
      </c>
      <c r="Y79" s="14">
        <f>IF(OR(B79&gt;=34, F79=1), 11700000, 9000000)</f>
        <v/>
      </c>
      <c r="Z79" s="14" t="n">
        <v>0.02</v>
      </c>
      <c r="AA79" s="14">
        <f>AVERAGE(J76:J78)</f>
        <v/>
      </c>
      <c r="AB79" s="14">
        <f>ABS(J79 - AA79)</f>
        <v/>
      </c>
      <c r="AC79" s="13" t="inlineStr">
        <is>
          <t>Hợp lệ</t>
        </is>
      </c>
      <c r="AD79" s="14">
        <f>IF(AA79="", 0, IF(AA79&gt;J79, (AA79-J79)*2700000, 0))</f>
        <v/>
      </c>
      <c r="AE79" s="14">
        <f>IF(AA79="", 0, IF(J79&gt;AA79, (J79-AA79)*6000000, 0))</f>
        <v/>
      </c>
      <c r="AF79" s="14">
        <f>AD79 + AE79</f>
        <v/>
      </c>
      <c r="AG79" s="14">
        <f>ABS(U79 - J79)</f>
        <v/>
      </c>
      <c r="AH79" s="14">
        <f>IF(U79&gt;J79, (U79-J79)*2700000, 0)</f>
        <v/>
      </c>
      <c r="AI79" s="14">
        <f>IF(J79&gt;U79, (J79-U79)*6000000, 0)</f>
        <v/>
      </c>
      <c r="AJ79" s="14">
        <f>AH79 + AI79 + S79</f>
        <v/>
      </c>
    </row>
    <row r="80">
      <c r="A80" s="13" t="inlineStr">
        <is>
          <t>Ngày 78 (17/07)</t>
        </is>
      </c>
      <c r="B80" s="14" t="n">
        <v>28.7</v>
      </c>
      <c r="C80" s="14" t="n">
        <v>15</v>
      </c>
      <c r="D80" s="14" t="n">
        <v>1</v>
      </c>
      <c r="E80" s="14" t="n">
        <v>161.9</v>
      </c>
      <c r="F80" s="14" t="n">
        <v>1</v>
      </c>
      <c r="G80" s="14" t="n">
        <v>187</v>
      </c>
      <c r="H80" s="14">
        <f>G80*IF(F80=1, 0.85, 0.8)</f>
        <v/>
      </c>
      <c r="I80" s="13" t="inlineStr">
        <is>
          <t>2-4</t>
        </is>
      </c>
      <c r="J80" s="14">
        <f>ROUNDUP(H80/17.2, 0)</f>
        <v/>
      </c>
      <c r="K80" s="14">
        <f>ROUND(TREND(G$3:G$94, E$3:E$94, E80), 1)</f>
        <v/>
      </c>
      <c r="L80" s="14">
        <f>ROUND(TREND(G$3:G$94, B$3:E$94, B80:E80), 1)</f>
        <v/>
      </c>
      <c r="M80" s="14">
        <f>ROUND(TREND(G$3:G$94, B$3:F$94, B80:F80), 1)</f>
        <v/>
      </c>
      <c r="N80" s="14">
        <f>ROUNDUP(M80*IF(F80=1, 0.85, 0.8)/17.2, 0)</f>
        <v/>
      </c>
      <c r="O80" s="14">
        <f>ROUND(N80*70%, 0)</f>
        <v/>
      </c>
      <c r="P80" s="14">
        <f>MIN(ROUNDUP(N80*0.2, 0), MAX(0, N80 - O80))</f>
        <v/>
      </c>
      <c r="Q80" s="13">
        <f>IF(C80&gt;20, "Hủy slot (Mưa &gt; 20mm)", "Kích hoạt")</f>
        <v/>
      </c>
      <c r="R80" s="14">
        <f>IF(C80&gt;20, 0, P80)</f>
        <v/>
      </c>
      <c r="S80" s="14">
        <f>IF(C80&gt;20, P80*0.4*Y80, 0)</f>
        <v/>
      </c>
      <c r="T80" s="14">
        <f>MAX(0, J80 - O80 - R80)</f>
        <v/>
      </c>
      <c r="U80" s="14">
        <f>O80 + R80 + T80</f>
        <v/>
      </c>
      <c r="V80" s="14" t="n">
        <v>15</v>
      </c>
      <c r="W80" s="13" t="inlineStr">
        <is>
          <t>2-4</t>
        </is>
      </c>
      <c r="X80" s="14" t="n">
        <v>3</v>
      </c>
      <c r="Y80" s="14">
        <f>IF(OR(B80&gt;=34, F80=1), 11700000, 9000000)</f>
        <v/>
      </c>
      <c r="Z80" s="14" t="n">
        <v>0.02</v>
      </c>
      <c r="AA80" s="14">
        <f>AVERAGE(J77:J79)</f>
        <v/>
      </c>
      <c r="AB80" s="14">
        <f>ABS(J80 - AA80)</f>
        <v/>
      </c>
      <c r="AC80" s="13" t="inlineStr">
        <is>
          <t>Hợp lệ</t>
        </is>
      </c>
      <c r="AD80" s="14">
        <f>IF(AA80="", 0, IF(AA80&gt;J80, (AA80-J80)*2700000, 0))</f>
        <v/>
      </c>
      <c r="AE80" s="14">
        <f>IF(AA80="", 0, IF(J80&gt;AA80, (J80-AA80)*6000000, 0))</f>
        <v/>
      </c>
      <c r="AF80" s="14">
        <f>AD80 + AE80</f>
        <v/>
      </c>
      <c r="AG80" s="14">
        <f>ABS(U80 - J80)</f>
        <v/>
      </c>
      <c r="AH80" s="14">
        <f>IF(U80&gt;J80, (U80-J80)*2700000, 0)</f>
        <v/>
      </c>
      <c r="AI80" s="14">
        <f>IF(J80&gt;U80, (J80-U80)*6000000, 0)</f>
        <v/>
      </c>
      <c r="AJ80" s="14">
        <f>AH80 + AI80 + S80</f>
        <v/>
      </c>
    </row>
    <row r="81">
      <c r="A81" s="13" t="inlineStr">
        <is>
          <t>Ngày 79 (18/07)</t>
        </is>
      </c>
      <c r="B81" s="14" t="n">
        <v>32.7</v>
      </c>
      <c r="C81" s="14" t="n">
        <v>0</v>
      </c>
      <c r="D81" s="14" t="n">
        <v>1</v>
      </c>
      <c r="E81" s="14" t="n">
        <v>129.6</v>
      </c>
      <c r="F81" s="14" t="n">
        <v>0</v>
      </c>
      <c r="G81" s="14" t="n">
        <v>156.3</v>
      </c>
      <c r="H81" s="14">
        <f>G81*IF(F81=1, 0.85, 0.8)</f>
        <v/>
      </c>
      <c r="I81" s="13" t="inlineStr">
        <is>
          <t>2-4</t>
        </is>
      </c>
      <c r="J81" s="14">
        <f>ROUNDUP(H81/17.2, 0)</f>
        <v/>
      </c>
      <c r="K81" s="14">
        <f>ROUND(TREND(G$3:G$94, E$3:E$94, E81), 1)</f>
        <v/>
      </c>
      <c r="L81" s="14">
        <f>ROUND(TREND(G$3:G$94, B$3:E$94, B81:E81), 1)</f>
        <v/>
      </c>
      <c r="M81" s="14">
        <f>ROUND(TREND(G$3:G$94, B$3:F$94, B81:F81), 1)</f>
        <v/>
      </c>
      <c r="N81" s="14">
        <f>ROUNDUP(M81*IF(F81=1, 0.85, 0.8)/17.2, 0)</f>
        <v/>
      </c>
      <c r="O81" s="14">
        <f>ROUND(N81*70%, 0)</f>
        <v/>
      </c>
      <c r="P81" s="14">
        <f>MIN(ROUNDUP(N81*0.2, 0), MAX(0, N81 - O81))</f>
        <v/>
      </c>
      <c r="Q81" s="13">
        <f>IF(C81&gt;20, "Hủy slot (Mưa &gt; 20mm)", "Kích hoạt")</f>
        <v/>
      </c>
      <c r="R81" s="14">
        <f>IF(C81&gt;20, 0, P81)</f>
        <v/>
      </c>
      <c r="S81" s="14">
        <f>IF(C81&gt;20, P81*0.4*Y81, 0)</f>
        <v/>
      </c>
      <c r="T81" s="14">
        <f>MAX(0, J81 - O81 - R81)</f>
        <v/>
      </c>
      <c r="U81" s="14">
        <f>O81 + R81 + T81</f>
        <v/>
      </c>
      <c r="V81" s="14" t="n">
        <v>12</v>
      </c>
      <c r="W81" s="13" t="inlineStr">
        <is>
          <t>2-4</t>
        </is>
      </c>
      <c r="X81" s="14" t="n">
        <v>1</v>
      </c>
      <c r="Y81" s="14">
        <f>IF(OR(B81&gt;=34, F81=1), 11700000, 9000000)</f>
        <v/>
      </c>
      <c r="Z81" s="14" t="n">
        <v>0.02</v>
      </c>
      <c r="AA81" s="14">
        <f>AVERAGE(J78:J80)</f>
        <v/>
      </c>
      <c r="AB81" s="14">
        <f>ABS(J81 - AA81)</f>
        <v/>
      </c>
      <c r="AC81" s="13" t="inlineStr">
        <is>
          <t>Hợp lệ</t>
        </is>
      </c>
      <c r="AD81" s="14">
        <f>IF(AA81="", 0, IF(AA81&gt;J81, (AA81-J81)*2700000, 0))</f>
        <v/>
      </c>
      <c r="AE81" s="14">
        <f>IF(AA81="", 0, IF(J81&gt;AA81, (J81-AA81)*6000000, 0))</f>
        <v/>
      </c>
      <c r="AF81" s="14">
        <f>AD81 + AE81</f>
        <v/>
      </c>
      <c r="AG81" s="14">
        <f>ABS(U81 - J81)</f>
        <v/>
      </c>
      <c r="AH81" s="14">
        <f>IF(U81&gt;J81, (U81-J81)*2700000, 0)</f>
        <v/>
      </c>
      <c r="AI81" s="14">
        <f>IF(J81&gt;U81, (J81-U81)*6000000, 0)</f>
        <v/>
      </c>
      <c r="AJ81" s="14">
        <f>AH81 + AI81 + S81</f>
        <v/>
      </c>
    </row>
    <row r="82">
      <c r="A82" s="13" t="inlineStr">
        <is>
          <t>Ngày 80 (19/07)</t>
        </is>
      </c>
      <c r="B82" s="14" t="n">
        <v>33</v>
      </c>
      <c r="C82" s="14" t="n">
        <v>0</v>
      </c>
      <c r="D82" s="14" t="n">
        <v>1</v>
      </c>
      <c r="E82" s="14" t="n">
        <v>115.8</v>
      </c>
      <c r="F82" s="14" t="n">
        <v>0</v>
      </c>
      <c r="G82" s="14" t="n">
        <v>133.5</v>
      </c>
      <c r="H82" s="14">
        <f>G82*IF(F82=1, 0.85, 0.8)</f>
        <v/>
      </c>
      <c r="I82" s="13" t="inlineStr">
        <is>
          <t>2-4</t>
        </is>
      </c>
      <c r="J82" s="14">
        <f>ROUNDUP(H82/17.2, 0)</f>
        <v/>
      </c>
      <c r="K82" s="14">
        <f>ROUND(TREND(G$3:G$94, E$3:E$94, E82), 1)</f>
        <v/>
      </c>
      <c r="L82" s="14">
        <f>ROUND(TREND(G$3:G$94, B$3:E$94, B82:E82), 1)</f>
        <v/>
      </c>
      <c r="M82" s="14">
        <f>ROUND(TREND(G$3:G$94, B$3:F$94, B82:F82), 1)</f>
        <v/>
      </c>
      <c r="N82" s="14">
        <f>ROUNDUP(M82*IF(F82=1, 0.85, 0.8)/17.2, 0)</f>
        <v/>
      </c>
      <c r="O82" s="14">
        <f>ROUND(N82*70%, 0)</f>
        <v/>
      </c>
      <c r="P82" s="14">
        <f>MIN(ROUNDUP(N82*0.2, 0), MAX(0, N82 - O82))</f>
        <v/>
      </c>
      <c r="Q82" s="13">
        <f>IF(C82&gt;20, "Hủy slot (Mưa &gt; 20mm)", "Kích hoạt")</f>
        <v/>
      </c>
      <c r="R82" s="14">
        <f>IF(C82&gt;20, 0, P82)</f>
        <v/>
      </c>
      <c r="S82" s="14">
        <f>IF(C82&gt;20, P82*0.4*Y82, 0)</f>
        <v/>
      </c>
      <c r="T82" s="14">
        <f>MAX(0, J82 - O82 - R82)</f>
        <v/>
      </c>
      <c r="U82" s="14">
        <f>O82 + R82 + T82</f>
        <v/>
      </c>
      <c r="V82" s="14" t="n">
        <v>9</v>
      </c>
      <c r="W82" s="13" t="inlineStr">
        <is>
          <t>2-4</t>
        </is>
      </c>
      <c r="X82" s="14" t="n">
        <v>3</v>
      </c>
      <c r="Y82" s="14">
        <f>IF(OR(B82&gt;=34, F82=1), 11700000, 9000000)</f>
        <v/>
      </c>
      <c r="Z82" s="14" t="n">
        <v>0.02</v>
      </c>
      <c r="AA82" s="14">
        <f>AVERAGE(J79:J81)</f>
        <v/>
      </c>
      <c r="AB82" s="14">
        <f>ABS(J82 - AA82)</f>
        <v/>
      </c>
      <c r="AC82" s="13" t="inlineStr">
        <is>
          <t>Hợp lệ</t>
        </is>
      </c>
      <c r="AD82" s="14">
        <f>IF(AA82="", 0, IF(AA82&gt;J82, (AA82-J82)*2700000, 0))</f>
        <v/>
      </c>
      <c r="AE82" s="14">
        <f>IF(AA82="", 0, IF(J82&gt;AA82, (J82-AA82)*6000000, 0))</f>
        <v/>
      </c>
      <c r="AF82" s="14">
        <f>AD82 + AE82</f>
        <v/>
      </c>
      <c r="AG82" s="14">
        <f>ABS(U82 - J82)</f>
        <v/>
      </c>
      <c r="AH82" s="14">
        <f>IF(U82&gt;J82, (U82-J82)*2700000, 0)</f>
        <v/>
      </c>
      <c r="AI82" s="14">
        <f>IF(J82&gt;U82, (J82-U82)*6000000, 0)</f>
        <v/>
      </c>
      <c r="AJ82" s="14">
        <f>AH82 + AI82 + S82</f>
        <v/>
      </c>
    </row>
    <row r="83">
      <c r="A83" s="13" t="inlineStr">
        <is>
          <t>Ngày 81 (20/07)</t>
        </is>
      </c>
      <c r="B83" s="14" t="n">
        <v>31.9</v>
      </c>
      <c r="C83" s="14" t="n">
        <v>0</v>
      </c>
      <c r="D83" s="14" t="n">
        <v>1</v>
      </c>
      <c r="E83" s="14" t="n">
        <v>132</v>
      </c>
      <c r="F83" s="14" t="n">
        <v>0</v>
      </c>
      <c r="G83" s="14" t="n">
        <v>129.1</v>
      </c>
      <c r="H83" s="14">
        <f>G83*IF(F83=1, 0.85, 0.8)</f>
        <v/>
      </c>
      <c r="I83" s="13" t="inlineStr">
        <is>
          <t>2-4</t>
        </is>
      </c>
      <c r="J83" s="14">
        <f>ROUNDUP(H83/17.2, 0)</f>
        <v/>
      </c>
      <c r="K83" s="14">
        <f>ROUND(TREND(G$3:G$94, E$3:E$94, E83), 1)</f>
        <v/>
      </c>
      <c r="L83" s="14">
        <f>ROUND(TREND(G$3:G$94, B$3:E$94, B83:E83), 1)</f>
        <v/>
      </c>
      <c r="M83" s="14">
        <f>ROUND(TREND(G$3:G$94, B$3:F$94, B83:F83), 1)</f>
        <v/>
      </c>
      <c r="N83" s="14">
        <f>ROUNDUP(M83*IF(F83=1, 0.85, 0.8)/17.2, 0)</f>
        <v/>
      </c>
      <c r="O83" s="14">
        <f>ROUND(N83*70%, 0)</f>
        <v/>
      </c>
      <c r="P83" s="14">
        <f>MIN(ROUNDUP(N83*0.2, 0), MAX(0, N83 - O83))</f>
        <v/>
      </c>
      <c r="Q83" s="13">
        <f>IF(C83&gt;20, "Hủy slot (Mưa &gt; 20mm)", "Kích hoạt")</f>
        <v/>
      </c>
      <c r="R83" s="14">
        <f>IF(C83&gt;20, 0, P83)</f>
        <v/>
      </c>
      <c r="S83" s="14">
        <f>IF(C83&gt;20, P83*0.4*Y83, 0)</f>
        <v/>
      </c>
      <c r="T83" s="14">
        <f>MAX(0, J83 - O83 - R83)</f>
        <v/>
      </c>
      <c r="U83" s="14">
        <f>O83 + R83 + T83</f>
        <v/>
      </c>
      <c r="V83" s="14" t="n">
        <v>12</v>
      </c>
      <c r="W83" s="13" t="inlineStr">
        <is>
          <t>2-4</t>
        </is>
      </c>
      <c r="X83" s="14" t="n">
        <v>1</v>
      </c>
      <c r="Y83" s="14">
        <f>IF(OR(B83&gt;=34, F83=1), 11700000, 9000000)</f>
        <v/>
      </c>
      <c r="Z83" s="14" t="n">
        <v>0.02</v>
      </c>
      <c r="AA83" s="14">
        <f>AVERAGE(J80:J82)</f>
        <v/>
      </c>
      <c r="AB83" s="14">
        <f>ABS(J83 - AA83)</f>
        <v/>
      </c>
      <c r="AC83" s="13" t="inlineStr">
        <is>
          <t>Hợp lệ</t>
        </is>
      </c>
      <c r="AD83" s="14">
        <f>IF(AA83="", 0, IF(AA83&gt;J83, (AA83-J83)*2700000, 0))</f>
        <v/>
      </c>
      <c r="AE83" s="14">
        <f>IF(AA83="", 0, IF(J83&gt;AA83, (J83-AA83)*6000000, 0))</f>
        <v/>
      </c>
      <c r="AF83" s="14">
        <f>AD83 + AE83</f>
        <v/>
      </c>
      <c r="AG83" s="14">
        <f>ABS(U83 - J83)</f>
        <v/>
      </c>
      <c r="AH83" s="14">
        <f>IF(U83&gt;J83, (U83-J83)*2700000, 0)</f>
        <v/>
      </c>
      <c r="AI83" s="14">
        <f>IF(J83&gt;U83, (J83-U83)*6000000, 0)</f>
        <v/>
      </c>
      <c r="AJ83" s="14">
        <f>AH83 + AI83 + S83</f>
        <v/>
      </c>
    </row>
    <row r="84">
      <c r="A84" s="13" t="inlineStr">
        <is>
          <t>Ngày 82 (21/07)</t>
        </is>
      </c>
      <c r="B84" s="14" t="n">
        <v>27.5</v>
      </c>
      <c r="C84" s="14" t="n">
        <v>40</v>
      </c>
      <c r="D84" s="14" t="n">
        <v>1</v>
      </c>
      <c r="E84" s="14" t="n">
        <v>116.6</v>
      </c>
      <c r="F84" s="14" t="n">
        <v>0</v>
      </c>
      <c r="G84" s="14" t="n">
        <v>59.4</v>
      </c>
      <c r="H84" s="14">
        <f>G84*IF(F84=1, 0.85, 0.8)</f>
        <v/>
      </c>
      <c r="I84" s="13" t="inlineStr">
        <is>
          <t>2-4</t>
        </is>
      </c>
      <c r="J84" s="14">
        <f>ROUNDUP(H84/17.2, 0)</f>
        <v/>
      </c>
      <c r="K84" s="14">
        <f>ROUND(TREND(G$3:G$94, E$3:E$94, E84), 1)</f>
        <v/>
      </c>
      <c r="L84" s="14">
        <f>ROUND(TREND(G$3:G$94, B$3:E$94, B84:E84), 1)</f>
        <v/>
      </c>
      <c r="M84" s="14">
        <f>ROUND(TREND(G$3:G$94, B$3:F$94, B84:F84), 1)</f>
        <v/>
      </c>
      <c r="N84" s="14">
        <f>ROUNDUP(M84*IF(F84=1, 0.85, 0.8)/17.2, 0)</f>
        <v/>
      </c>
      <c r="O84" s="14">
        <f>ROUND(N84*70%, 0)</f>
        <v/>
      </c>
      <c r="P84" s="14">
        <f>MIN(ROUNDUP(N84*0.2, 0), MAX(0, N84 - O84))</f>
        <v/>
      </c>
      <c r="Q84" s="13">
        <f>IF(C84&gt;20, "Hủy slot (Mưa &gt; 20mm)", "Kích hoạt")</f>
        <v/>
      </c>
      <c r="R84" s="14">
        <f>IF(C84&gt;20, 0, P84)</f>
        <v/>
      </c>
      <c r="S84" s="14">
        <f>IF(C84&gt;20, P84*0.4*Y84, 0)</f>
        <v/>
      </c>
      <c r="T84" s="14">
        <f>MAX(0, J84 - O84 - R84)</f>
        <v/>
      </c>
      <c r="U84" s="14">
        <f>O84 + R84 + T84</f>
        <v/>
      </c>
      <c r="V84" s="14" t="n">
        <v>8</v>
      </c>
      <c r="W84" s="13" t="inlineStr">
        <is>
          <t>2-4</t>
        </is>
      </c>
      <c r="X84" s="14" t="n">
        <v>3</v>
      </c>
      <c r="Y84" s="14">
        <f>IF(OR(B84&gt;=34, F84=1), 11700000, 9000000)</f>
        <v/>
      </c>
      <c r="Z84" s="14" t="n">
        <v>0.02</v>
      </c>
      <c r="AA84" s="14">
        <f>AVERAGE(J81:J83)</f>
        <v/>
      </c>
      <c r="AB84" s="14">
        <f>ABS(J84 - AA84)</f>
        <v/>
      </c>
      <c r="AC84" s="13" t="inlineStr">
        <is>
          <t>Hợp lệ</t>
        </is>
      </c>
      <c r="AD84" s="14">
        <f>IF(AA84="", 0, IF(AA84&gt;J84, (AA84-J84)*2700000, 0))</f>
        <v/>
      </c>
      <c r="AE84" s="14">
        <f>IF(AA84="", 0, IF(J84&gt;AA84, (J84-AA84)*6000000, 0))</f>
        <v/>
      </c>
      <c r="AF84" s="14">
        <f>AD84 + AE84</f>
        <v/>
      </c>
      <c r="AG84" s="14">
        <f>ABS(U84 - J84)</f>
        <v/>
      </c>
      <c r="AH84" s="14">
        <f>IF(U84&gt;J84, (U84-J84)*2700000, 0)</f>
        <v/>
      </c>
      <c r="AI84" s="14">
        <f>IF(J84&gt;U84, (J84-U84)*6000000, 0)</f>
        <v/>
      </c>
      <c r="AJ84" s="14">
        <f>AH84 + AI84 + S84</f>
        <v/>
      </c>
    </row>
    <row r="85">
      <c r="A85" s="13" t="inlineStr">
        <is>
          <t>Ngày 83 (22/07)</t>
        </is>
      </c>
      <c r="B85" s="14" t="n">
        <v>30.9</v>
      </c>
      <c r="C85" s="14" t="n">
        <v>0</v>
      </c>
      <c r="D85" s="14" t="n">
        <v>1</v>
      </c>
      <c r="E85" s="14" t="n">
        <v>83.09999999999999</v>
      </c>
      <c r="F85" s="14" t="n">
        <v>0</v>
      </c>
      <c r="G85" s="14" t="n">
        <v>102.4</v>
      </c>
      <c r="H85" s="14">
        <f>G85*IF(F85=1, 0.85, 0.8)</f>
        <v/>
      </c>
      <c r="I85" s="13" t="inlineStr">
        <is>
          <t>2-4</t>
        </is>
      </c>
      <c r="J85" s="14">
        <f>ROUNDUP(H85/17.2, 0)</f>
        <v/>
      </c>
      <c r="K85" s="14">
        <f>ROUND(TREND(G$3:G$94, E$3:E$94, E85), 1)</f>
        <v/>
      </c>
      <c r="L85" s="14">
        <f>ROUND(TREND(G$3:G$94, B$3:E$94, B85:E85), 1)</f>
        <v/>
      </c>
      <c r="M85" s="14">
        <f>ROUND(TREND(G$3:G$94, B$3:F$94, B85:F85), 1)</f>
        <v/>
      </c>
      <c r="N85" s="14">
        <f>ROUNDUP(M85*IF(F85=1, 0.85, 0.8)/17.2, 0)</f>
        <v/>
      </c>
      <c r="O85" s="14">
        <f>ROUND(N85*70%, 0)</f>
        <v/>
      </c>
      <c r="P85" s="14">
        <f>MIN(ROUNDUP(N85*0.2, 0), MAX(0, N85 - O85))</f>
        <v/>
      </c>
      <c r="Q85" s="13">
        <f>IF(C85&gt;20, "Hủy slot (Mưa &gt; 20mm)", "Kích hoạt")</f>
        <v/>
      </c>
      <c r="R85" s="14">
        <f>IF(C85&gt;20, 0, P85)</f>
        <v/>
      </c>
      <c r="S85" s="14">
        <f>IF(C85&gt;20, P85*0.4*Y85, 0)</f>
        <v/>
      </c>
      <c r="T85" s="14">
        <f>MAX(0, J85 - O85 - R85)</f>
        <v/>
      </c>
      <c r="U85" s="14">
        <f>O85 + R85 + T85</f>
        <v/>
      </c>
      <c r="V85" s="14" t="n">
        <v>8</v>
      </c>
      <c r="W85" s="13" t="inlineStr">
        <is>
          <t>2-4</t>
        </is>
      </c>
      <c r="X85" s="14" t="n">
        <v>2</v>
      </c>
      <c r="Y85" s="14">
        <f>IF(OR(B85&gt;=34, F85=1), 11700000, 9000000)</f>
        <v/>
      </c>
      <c r="Z85" s="14" t="n">
        <v>0.02</v>
      </c>
      <c r="AA85" s="14">
        <f>AVERAGE(J82:J84)</f>
        <v/>
      </c>
      <c r="AB85" s="14">
        <f>ABS(J85 - AA85)</f>
        <v/>
      </c>
      <c r="AC85" s="13" t="inlineStr">
        <is>
          <t>Hợp lệ</t>
        </is>
      </c>
      <c r="AD85" s="14">
        <f>IF(AA85="", 0, IF(AA85&gt;J85, (AA85-J85)*2700000, 0))</f>
        <v/>
      </c>
      <c r="AE85" s="14">
        <f>IF(AA85="", 0, IF(J85&gt;AA85, (J85-AA85)*6000000, 0))</f>
        <v/>
      </c>
      <c r="AF85" s="14">
        <f>AD85 + AE85</f>
        <v/>
      </c>
      <c r="AG85" s="14">
        <f>ABS(U85 - J85)</f>
        <v/>
      </c>
      <c r="AH85" s="14">
        <f>IF(U85&gt;J85, (U85-J85)*2700000, 0)</f>
        <v/>
      </c>
      <c r="AI85" s="14">
        <f>IF(J85&gt;U85, (J85-U85)*6000000, 0)</f>
        <v/>
      </c>
      <c r="AJ85" s="14">
        <f>AH85 + AI85 + S85</f>
        <v/>
      </c>
    </row>
    <row r="86">
      <c r="A86" s="13" t="inlineStr">
        <is>
          <t>Ngày 84 (23/07)</t>
        </is>
      </c>
      <c r="B86" s="14" t="n">
        <v>30.6</v>
      </c>
      <c r="C86" s="14" t="n">
        <v>0</v>
      </c>
      <c r="D86" s="14" t="n">
        <v>1</v>
      </c>
      <c r="E86" s="14" t="n">
        <v>102.1</v>
      </c>
      <c r="F86" s="14" t="n">
        <v>1</v>
      </c>
      <c r="G86" s="14" t="n">
        <v>116</v>
      </c>
      <c r="H86" s="14">
        <f>G86*IF(F86=1, 0.85, 0.8)</f>
        <v/>
      </c>
      <c r="I86" s="13" t="inlineStr">
        <is>
          <t>2-4</t>
        </is>
      </c>
      <c r="J86" s="14">
        <f>ROUNDUP(H86/17.2, 0)</f>
        <v/>
      </c>
      <c r="K86" s="14">
        <f>ROUND(TREND(G$3:G$94, E$3:E$94, E86), 1)</f>
        <v/>
      </c>
      <c r="L86" s="14">
        <f>ROUND(TREND(G$3:G$94, B$3:E$94, B86:E86), 1)</f>
        <v/>
      </c>
      <c r="M86" s="14">
        <f>ROUND(TREND(G$3:G$94, B$3:F$94, B86:F86), 1)</f>
        <v/>
      </c>
      <c r="N86" s="14">
        <f>ROUNDUP(M86*IF(F86=1, 0.85, 0.8)/17.2, 0)</f>
        <v/>
      </c>
      <c r="O86" s="14">
        <f>ROUND(N86*70%, 0)</f>
        <v/>
      </c>
      <c r="P86" s="14">
        <f>MIN(ROUNDUP(N86*0.2, 0), MAX(0, N86 - O86))</f>
        <v/>
      </c>
      <c r="Q86" s="13">
        <f>IF(C86&gt;20, "Hủy slot (Mưa &gt; 20mm)", "Kích hoạt")</f>
        <v/>
      </c>
      <c r="R86" s="14">
        <f>IF(C86&gt;20, 0, P86)</f>
        <v/>
      </c>
      <c r="S86" s="14">
        <f>IF(C86&gt;20, P86*0.4*Y86, 0)</f>
        <v/>
      </c>
      <c r="T86" s="14">
        <f>MAX(0, J86 - O86 - R86)</f>
        <v/>
      </c>
      <c r="U86" s="14">
        <f>O86 + R86 + T86</f>
        <v/>
      </c>
      <c r="V86" s="14" t="n">
        <v>9</v>
      </c>
      <c r="W86" s="13" t="inlineStr">
        <is>
          <t>2-4</t>
        </is>
      </c>
      <c r="X86" s="14" t="n">
        <v>3</v>
      </c>
      <c r="Y86" s="14">
        <f>IF(OR(B86&gt;=34, F86=1), 11700000, 9000000)</f>
        <v/>
      </c>
      <c r="Z86" s="14" t="n">
        <v>0.02</v>
      </c>
      <c r="AA86" s="14">
        <f>AVERAGE(J83:J85)</f>
        <v/>
      </c>
      <c r="AB86" s="14">
        <f>ABS(J86 - AA86)</f>
        <v/>
      </c>
      <c r="AC86" s="13" t="inlineStr">
        <is>
          <t>Hợp lệ</t>
        </is>
      </c>
      <c r="AD86" s="14">
        <f>IF(AA86="", 0, IF(AA86&gt;J86, (AA86-J86)*2700000, 0))</f>
        <v/>
      </c>
      <c r="AE86" s="14">
        <f>IF(AA86="", 0, IF(J86&gt;AA86, (J86-AA86)*6000000, 0))</f>
        <v/>
      </c>
      <c r="AF86" s="14">
        <f>AD86 + AE86</f>
        <v/>
      </c>
      <c r="AG86" s="14">
        <f>ABS(U86 - J86)</f>
        <v/>
      </c>
      <c r="AH86" s="14">
        <f>IF(U86&gt;J86, (U86-J86)*2700000, 0)</f>
        <v/>
      </c>
      <c r="AI86" s="14">
        <f>IF(J86&gt;U86, (J86-U86)*6000000, 0)</f>
        <v/>
      </c>
      <c r="AJ86" s="14">
        <f>AH86 + AI86 + S86</f>
        <v/>
      </c>
    </row>
    <row r="87">
      <c r="A87" s="13" t="inlineStr">
        <is>
          <t>Ngày 85 (24/07)</t>
        </is>
      </c>
      <c r="B87" s="14" t="n">
        <v>31.2</v>
      </c>
      <c r="C87" s="14" t="n">
        <v>0</v>
      </c>
      <c r="D87" s="14" t="n">
        <v>1</v>
      </c>
      <c r="E87" s="14" t="n">
        <v>86.40000000000001</v>
      </c>
      <c r="F87" s="14" t="n">
        <v>1</v>
      </c>
      <c r="G87" s="14" t="n">
        <v>97</v>
      </c>
      <c r="H87" s="14">
        <f>G87*IF(F87=1, 0.85, 0.8)</f>
        <v/>
      </c>
      <c r="I87" s="13" t="inlineStr">
        <is>
          <t>2-4</t>
        </is>
      </c>
      <c r="J87" s="14">
        <f>ROUNDUP(H87/17.2, 0)</f>
        <v/>
      </c>
      <c r="K87" s="14">
        <f>ROUND(TREND(G$3:G$94, E$3:E$94, E87), 1)</f>
        <v/>
      </c>
      <c r="L87" s="14">
        <f>ROUND(TREND(G$3:G$94, B$3:E$94, B87:E87), 1)</f>
        <v/>
      </c>
      <c r="M87" s="14">
        <f>ROUND(TREND(G$3:G$94, B$3:F$94, B87:F87), 1)</f>
        <v/>
      </c>
      <c r="N87" s="14">
        <f>ROUNDUP(M87*IF(F87=1, 0.85, 0.8)/17.2, 0)</f>
        <v/>
      </c>
      <c r="O87" s="14">
        <f>ROUND(N87*70%, 0)</f>
        <v/>
      </c>
      <c r="P87" s="14">
        <f>MIN(ROUNDUP(N87*0.2, 0), MAX(0, N87 - O87))</f>
        <v/>
      </c>
      <c r="Q87" s="13">
        <f>IF(C87&gt;20, "Hủy slot (Mưa &gt; 20mm)", "Kích hoạt")</f>
        <v/>
      </c>
      <c r="R87" s="14">
        <f>IF(C87&gt;20, 0, P87)</f>
        <v/>
      </c>
      <c r="S87" s="14">
        <f>IF(C87&gt;20, P87*0.4*Y87, 0)</f>
        <v/>
      </c>
      <c r="T87" s="14">
        <f>MAX(0, J87 - O87 - R87)</f>
        <v/>
      </c>
      <c r="U87" s="14">
        <f>O87 + R87 + T87</f>
        <v/>
      </c>
      <c r="V87" s="14" t="n">
        <v>10</v>
      </c>
      <c r="W87" s="13" t="inlineStr">
        <is>
          <t>2-4</t>
        </is>
      </c>
      <c r="X87" s="14" t="n">
        <v>3</v>
      </c>
      <c r="Y87" s="14">
        <f>IF(OR(B87&gt;=34, F87=1), 11700000, 9000000)</f>
        <v/>
      </c>
      <c r="Z87" s="14" t="n">
        <v>0.02</v>
      </c>
      <c r="AA87" s="14">
        <f>AVERAGE(J84:J86)</f>
        <v/>
      </c>
      <c r="AB87" s="14">
        <f>ABS(J87 - AA87)</f>
        <v/>
      </c>
      <c r="AC87" s="13" t="inlineStr">
        <is>
          <t>Hợp lệ</t>
        </is>
      </c>
      <c r="AD87" s="14">
        <f>IF(AA87="", 0, IF(AA87&gt;J87, (AA87-J87)*2700000, 0))</f>
        <v/>
      </c>
      <c r="AE87" s="14">
        <f>IF(AA87="", 0, IF(J87&gt;AA87, (J87-AA87)*6000000, 0))</f>
        <v/>
      </c>
      <c r="AF87" s="14">
        <f>AD87 + AE87</f>
        <v/>
      </c>
      <c r="AG87" s="14">
        <f>ABS(U87 - J87)</f>
        <v/>
      </c>
      <c r="AH87" s="14">
        <f>IF(U87&gt;J87, (U87-J87)*2700000, 0)</f>
        <v/>
      </c>
      <c r="AI87" s="14">
        <f>IF(J87&gt;U87, (J87-U87)*6000000, 0)</f>
        <v/>
      </c>
      <c r="AJ87" s="14">
        <f>AH87 + AI87 + S87</f>
        <v/>
      </c>
    </row>
    <row r="88">
      <c r="A88" s="13" t="inlineStr">
        <is>
          <t>Ngày 86 (25/07)</t>
        </is>
      </c>
      <c r="B88" s="14" t="n">
        <v>30.2</v>
      </c>
      <c r="C88" s="14" t="n">
        <v>25</v>
      </c>
      <c r="D88" s="14" t="n">
        <v>1</v>
      </c>
      <c r="E88" s="14" t="n">
        <v>60.2</v>
      </c>
      <c r="F88" s="14" t="n">
        <v>0</v>
      </c>
      <c r="G88" s="14" t="n">
        <v>42.4</v>
      </c>
      <c r="H88" s="14">
        <f>G88*IF(F88=1, 0.85, 0.8)</f>
        <v/>
      </c>
      <c r="I88" s="13" t="inlineStr">
        <is>
          <t>2-4</t>
        </is>
      </c>
      <c r="J88" s="14">
        <f>ROUNDUP(H88/17.2, 0)</f>
        <v/>
      </c>
      <c r="K88" s="14">
        <f>ROUND(TREND(G$3:G$94, E$3:E$94, E88), 1)</f>
        <v/>
      </c>
      <c r="L88" s="14">
        <f>ROUND(TREND(G$3:G$94, B$3:E$94, B88:E88), 1)</f>
        <v/>
      </c>
      <c r="M88" s="14">
        <f>ROUND(TREND(G$3:G$94, B$3:F$94, B88:F88), 1)</f>
        <v/>
      </c>
      <c r="N88" s="14">
        <f>ROUNDUP(M88*IF(F88=1, 0.85, 0.8)/17.2, 0)</f>
        <v/>
      </c>
      <c r="O88" s="14">
        <f>ROUND(N88*70%, 0)</f>
        <v/>
      </c>
      <c r="P88" s="14">
        <f>MIN(ROUNDUP(N88*0.2, 0), MAX(0, N88 - O88))</f>
        <v/>
      </c>
      <c r="Q88" s="13">
        <f>IF(C88&gt;20, "Hủy slot (Mưa &gt; 20mm)", "Kích hoạt")</f>
        <v/>
      </c>
      <c r="R88" s="14">
        <f>IF(C88&gt;20, 0, P88)</f>
        <v/>
      </c>
      <c r="S88" s="14">
        <f>IF(C88&gt;20, P88*0.4*Y88, 0)</f>
        <v/>
      </c>
      <c r="T88" s="14">
        <f>MAX(0, J88 - O88 - R88)</f>
        <v/>
      </c>
      <c r="U88" s="14">
        <f>O88 + R88 + T88</f>
        <v/>
      </c>
      <c r="V88" s="14" t="n">
        <v>5</v>
      </c>
      <c r="W88" s="13" t="inlineStr">
        <is>
          <t>2-4</t>
        </is>
      </c>
      <c r="X88" s="14" t="n">
        <v>3</v>
      </c>
      <c r="Y88" s="14">
        <f>IF(OR(B88&gt;=34, F88=1), 11700000, 9000000)</f>
        <v/>
      </c>
      <c r="Z88" s="14" t="n">
        <v>0.02</v>
      </c>
      <c r="AA88" s="14">
        <f>AVERAGE(J85:J87)</f>
        <v/>
      </c>
      <c r="AB88" s="14">
        <f>ABS(J88 - AA88)</f>
        <v/>
      </c>
      <c r="AC88" s="13" t="inlineStr">
        <is>
          <t>Hợp lệ</t>
        </is>
      </c>
      <c r="AD88" s="14">
        <f>IF(AA88="", 0, IF(AA88&gt;J88, (AA88-J88)*2700000, 0))</f>
        <v/>
      </c>
      <c r="AE88" s="14">
        <f>IF(AA88="", 0, IF(J88&gt;AA88, (J88-AA88)*6000000, 0))</f>
        <v/>
      </c>
      <c r="AF88" s="14">
        <f>AD88 + AE88</f>
        <v/>
      </c>
      <c r="AG88" s="14">
        <f>ABS(U88 - J88)</f>
        <v/>
      </c>
      <c r="AH88" s="14">
        <f>IF(U88&gt;J88, (U88-J88)*2700000, 0)</f>
        <v/>
      </c>
      <c r="AI88" s="14">
        <f>IF(J88&gt;U88, (J88-U88)*6000000, 0)</f>
        <v/>
      </c>
      <c r="AJ88" s="14">
        <f>AH88 + AI88 + S88</f>
        <v/>
      </c>
    </row>
    <row r="89">
      <c r="A89" s="13" t="inlineStr">
        <is>
          <t>Ngày 87 (26/07)</t>
        </is>
      </c>
      <c r="B89" s="14" t="n">
        <v>30.1</v>
      </c>
      <c r="C89" s="14" t="n">
        <v>0</v>
      </c>
      <c r="D89" s="14" t="n">
        <v>1</v>
      </c>
      <c r="E89" s="14" t="n">
        <v>44.2</v>
      </c>
      <c r="F89" s="14" t="n">
        <v>0</v>
      </c>
      <c r="G89" s="14" t="n">
        <v>55.5</v>
      </c>
      <c r="H89" s="14">
        <f>G89*IF(F89=1, 0.85, 0.8)</f>
        <v/>
      </c>
      <c r="I89" s="13" t="inlineStr">
        <is>
          <t>2-4</t>
        </is>
      </c>
      <c r="J89" s="14">
        <f>ROUNDUP(H89/17.2, 0)</f>
        <v/>
      </c>
      <c r="K89" s="14">
        <f>ROUND(TREND(G$3:G$94, E$3:E$94, E89), 1)</f>
        <v/>
      </c>
      <c r="L89" s="14">
        <f>ROUND(TREND(G$3:G$94, B$3:E$94, B89:E89), 1)</f>
        <v/>
      </c>
      <c r="M89" s="14">
        <f>ROUND(TREND(G$3:G$94, B$3:F$94, B89:F89), 1)</f>
        <v/>
      </c>
      <c r="N89" s="14">
        <f>ROUNDUP(M89*IF(F89=1, 0.85, 0.8)/17.2, 0)</f>
        <v/>
      </c>
      <c r="O89" s="14">
        <f>ROUND(N89*70%, 0)</f>
        <v/>
      </c>
      <c r="P89" s="14">
        <f>MIN(ROUNDUP(N89*0.2, 0), MAX(0, N89 - O89))</f>
        <v/>
      </c>
      <c r="Q89" s="13">
        <f>IF(C89&gt;20, "Hủy slot (Mưa &gt; 20mm)", "Kích hoạt")</f>
        <v/>
      </c>
      <c r="R89" s="14">
        <f>IF(C89&gt;20, 0, P89)</f>
        <v/>
      </c>
      <c r="S89" s="14">
        <f>IF(C89&gt;20, P89*0.4*Y89, 0)</f>
        <v/>
      </c>
      <c r="T89" s="14">
        <f>MAX(0, J89 - O89 - R89)</f>
        <v/>
      </c>
      <c r="U89" s="14">
        <f>O89 + R89 + T89</f>
        <v/>
      </c>
      <c r="V89" s="14" t="n">
        <v>7</v>
      </c>
      <c r="W89" s="13" t="inlineStr">
        <is>
          <t>2-4</t>
        </is>
      </c>
      <c r="X89" s="14" t="n">
        <v>3</v>
      </c>
      <c r="Y89" s="14">
        <f>IF(OR(B89&gt;=34, F89=1), 11700000, 9000000)</f>
        <v/>
      </c>
      <c r="Z89" s="14" t="n">
        <v>0.02</v>
      </c>
      <c r="AA89" s="14">
        <f>AVERAGE(J86:J88)</f>
        <v/>
      </c>
      <c r="AB89" s="14">
        <f>ABS(J89 - AA89)</f>
        <v/>
      </c>
      <c r="AC89" s="13" t="inlineStr">
        <is>
          <t>Hợp lệ</t>
        </is>
      </c>
      <c r="AD89" s="14">
        <f>IF(AA89="", 0, IF(AA89&gt;J89, (AA89-J89)*2700000, 0))</f>
        <v/>
      </c>
      <c r="AE89" s="14">
        <f>IF(AA89="", 0, IF(J89&gt;AA89, (J89-AA89)*6000000, 0))</f>
        <v/>
      </c>
      <c r="AF89" s="14">
        <f>AD89 + AE89</f>
        <v/>
      </c>
      <c r="AG89" s="14">
        <f>ABS(U89 - J89)</f>
        <v/>
      </c>
      <c r="AH89" s="14">
        <f>IF(U89&gt;J89, (U89-J89)*2700000, 0)</f>
        <v/>
      </c>
      <c r="AI89" s="14">
        <f>IF(J89&gt;U89, (J89-U89)*6000000, 0)</f>
        <v/>
      </c>
      <c r="AJ89" s="14">
        <f>AH89 + AI89 + S89</f>
        <v/>
      </c>
    </row>
    <row r="90">
      <c r="A90" s="13" t="inlineStr">
        <is>
          <t>Ngày 88 (27/07)</t>
        </is>
      </c>
      <c r="B90" s="14" t="n">
        <v>28</v>
      </c>
      <c r="C90" s="14" t="n">
        <v>0</v>
      </c>
      <c r="D90" s="14" t="n">
        <v>1</v>
      </c>
      <c r="E90" s="14" t="n">
        <v>43.6</v>
      </c>
      <c r="F90" s="14" t="n">
        <v>0</v>
      </c>
      <c r="G90" s="14" t="n">
        <v>34.1</v>
      </c>
      <c r="H90" s="14">
        <f>G90*IF(F90=1, 0.85, 0.8)</f>
        <v/>
      </c>
      <c r="I90" s="13" t="inlineStr">
        <is>
          <t>2-4</t>
        </is>
      </c>
      <c r="J90" s="14">
        <f>ROUNDUP(H90/17.2, 0)</f>
        <v/>
      </c>
      <c r="K90" s="14">
        <f>ROUND(TREND(G$3:G$94, E$3:E$94, E90), 1)</f>
        <v/>
      </c>
      <c r="L90" s="14">
        <f>ROUND(TREND(G$3:G$94, B$3:E$94, B90:E90), 1)</f>
        <v/>
      </c>
      <c r="M90" s="14">
        <f>ROUND(TREND(G$3:G$94, B$3:F$94, B90:F90), 1)</f>
        <v/>
      </c>
      <c r="N90" s="14">
        <f>ROUNDUP(M90*IF(F90=1, 0.85, 0.8)/17.2, 0)</f>
        <v/>
      </c>
      <c r="O90" s="14">
        <f>ROUND(N90*70%, 0)</f>
        <v/>
      </c>
      <c r="P90" s="14">
        <f>MIN(ROUNDUP(N90*0.2, 0), MAX(0, N90 - O90))</f>
        <v/>
      </c>
      <c r="Q90" s="13">
        <f>IF(C90&gt;20, "Hủy slot (Mưa &gt; 20mm)", "Kích hoạt")</f>
        <v/>
      </c>
      <c r="R90" s="14">
        <f>IF(C90&gt;20, 0, P90)</f>
        <v/>
      </c>
      <c r="S90" s="14">
        <f>IF(C90&gt;20, P90*0.4*Y90, 0)</f>
        <v/>
      </c>
      <c r="T90" s="14">
        <f>MAX(0, J90 - O90 - R90)</f>
        <v/>
      </c>
      <c r="U90" s="14">
        <f>O90 + R90 + T90</f>
        <v/>
      </c>
      <c r="V90" s="14" t="n">
        <v>7</v>
      </c>
      <c r="W90" s="13" t="inlineStr">
        <is>
          <t>2-4</t>
        </is>
      </c>
      <c r="X90" s="14" t="n">
        <v>1</v>
      </c>
      <c r="Y90" s="14">
        <f>IF(OR(B90&gt;=34, F90=1), 11700000, 9000000)</f>
        <v/>
      </c>
      <c r="Z90" s="14" t="n">
        <v>0.02</v>
      </c>
      <c r="AA90" s="14">
        <f>AVERAGE(J87:J89)</f>
        <v/>
      </c>
      <c r="AB90" s="14">
        <f>ABS(J90 - AA90)</f>
        <v/>
      </c>
      <c r="AC90" s="13" t="inlineStr">
        <is>
          <t>Hợp lệ</t>
        </is>
      </c>
      <c r="AD90" s="14">
        <f>IF(AA90="", 0, IF(AA90&gt;J90, (AA90-J90)*2700000, 0))</f>
        <v/>
      </c>
      <c r="AE90" s="14">
        <f>IF(AA90="", 0, IF(J90&gt;AA90, (J90-AA90)*6000000, 0))</f>
        <v/>
      </c>
      <c r="AF90" s="14">
        <f>AD90 + AE90</f>
        <v/>
      </c>
      <c r="AG90" s="14">
        <f>ABS(U90 - J90)</f>
        <v/>
      </c>
      <c r="AH90" s="14">
        <f>IF(U90&gt;J90, (U90-J90)*2700000, 0)</f>
        <v/>
      </c>
      <c r="AI90" s="14">
        <f>IF(J90&gt;U90, (J90-U90)*6000000, 0)</f>
        <v/>
      </c>
      <c r="AJ90" s="14">
        <f>AH90 + AI90 + S90</f>
        <v/>
      </c>
    </row>
    <row r="91">
      <c r="A91" s="13" t="inlineStr">
        <is>
          <t>Ngày 89 (28/07)</t>
        </is>
      </c>
      <c r="B91" s="14" t="n">
        <v>27.5</v>
      </c>
      <c r="C91" s="14" t="n">
        <v>40</v>
      </c>
      <c r="D91" s="14" t="n">
        <v>1</v>
      </c>
      <c r="E91" s="14" t="n">
        <v>28.4</v>
      </c>
      <c r="F91" s="14" t="n">
        <v>0</v>
      </c>
      <c r="G91" s="14" t="n">
        <v>24.5</v>
      </c>
      <c r="H91" s="14">
        <f>G91*IF(F91=1, 0.85, 0.8)</f>
        <v/>
      </c>
      <c r="I91" s="13" t="inlineStr">
        <is>
          <t>2-4</t>
        </is>
      </c>
      <c r="J91" s="14">
        <f>ROUNDUP(H91/17.2, 0)</f>
        <v/>
      </c>
      <c r="K91" s="14">
        <f>ROUND(TREND(G$3:G$94, E$3:E$94, E91), 1)</f>
        <v/>
      </c>
      <c r="L91" s="14">
        <f>ROUND(TREND(G$3:G$94, B$3:E$94, B91:E91), 1)</f>
        <v/>
      </c>
      <c r="M91" s="14">
        <f>ROUND(TREND(G$3:G$94, B$3:F$94, B91:F91), 1)</f>
        <v/>
      </c>
      <c r="N91" s="14">
        <f>ROUNDUP(M91*IF(F91=1, 0.85, 0.8)/17.2, 0)</f>
        <v/>
      </c>
      <c r="O91" s="14">
        <f>ROUND(N91*70%, 0)</f>
        <v/>
      </c>
      <c r="P91" s="14">
        <f>MIN(ROUNDUP(N91*0.2, 0), MAX(0, N91 - O91))</f>
        <v/>
      </c>
      <c r="Q91" s="13">
        <f>IF(C91&gt;20, "Hủy slot (Mưa &gt; 20mm)", "Kích hoạt")</f>
        <v/>
      </c>
      <c r="R91" s="14">
        <f>IF(C91&gt;20, 0, P91)</f>
        <v/>
      </c>
      <c r="S91" s="14">
        <f>IF(C91&gt;20, P91*0.4*Y91, 0)</f>
        <v/>
      </c>
      <c r="T91" s="14">
        <f>MAX(0, J91 - O91 - R91)</f>
        <v/>
      </c>
      <c r="U91" s="14">
        <f>O91 + R91 + T91</f>
        <v/>
      </c>
      <c r="V91" s="14" t="n">
        <v>7</v>
      </c>
      <c r="W91" s="13" t="inlineStr">
        <is>
          <t>2-4</t>
        </is>
      </c>
      <c r="X91" s="14" t="n">
        <v>3</v>
      </c>
      <c r="Y91" s="14">
        <f>IF(OR(B91&gt;=34, F91=1), 11700000, 9000000)</f>
        <v/>
      </c>
      <c r="Z91" s="14" t="n">
        <v>0.02</v>
      </c>
      <c r="AA91" s="14">
        <f>AVERAGE(J88:J90)</f>
        <v/>
      </c>
      <c r="AB91" s="14">
        <f>ABS(J91 - AA91)</f>
        <v/>
      </c>
      <c r="AC91" s="13" t="inlineStr">
        <is>
          <t>Hợp lệ</t>
        </is>
      </c>
      <c r="AD91" s="14">
        <f>IF(AA91="", 0, IF(AA91&gt;J91, (AA91-J91)*2700000, 0))</f>
        <v/>
      </c>
      <c r="AE91" s="14">
        <f>IF(AA91="", 0, IF(J91&gt;AA91, (J91-AA91)*6000000, 0))</f>
        <v/>
      </c>
      <c r="AF91" s="14">
        <f>AD91 + AE91</f>
        <v/>
      </c>
      <c r="AG91" s="14">
        <f>ABS(U91 - J91)</f>
        <v/>
      </c>
      <c r="AH91" s="14">
        <f>IF(U91&gt;J91, (U91-J91)*2700000, 0)</f>
        <v/>
      </c>
      <c r="AI91" s="14">
        <f>IF(J91&gt;U91, (J91-U91)*6000000, 0)</f>
        <v/>
      </c>
      <c r="AJ91" s="14">
        <f>AH91 + AI91 + S91</f>
        <v/>
      </c>
    </row>
    <row r="92">
      <c r="A92" s="13" t="inlineStr">
        <is>
          <t>Ngày 90 (29/07)</t>
        </is>
      </c>
      <c r="B92" s="14" t="n">
        <v>29.6</v>
      </c>
      <c r="C92" s="14" t="n">
        <v>0</v>
      </c>
      <c r="D92" s="14" t="n">
        <v>1</v>
      </c>
      <c r="E92" s="14" t="n">
        <v>23.4</v>
      </c>
      <c r="F92" s="14" t="n">
        <v>0</v>
      </c>
      <c r="G92" s="14" t="n">
        <v>23.1</v>
      </c>
      <c r="H92" s="14">
        <f>G92*IF(F92=1, 0.85, 0.8)</f>
        <v/>
      </c>
      <c r="I92" s="13" t="inlineStr">
        <is>
          <t>2-4</t>
        </is>
      </c>
      <c r="J92" s="14">
        <f>ROUNDUP(H92/17.2, 0)</f>
        <v/>
      </c>
      <c r="K92" s="14">
        <f>ROUND(TREND(G$3:G$94, E$3:E$94, E92), 1)</f>
        <v/>
      </c>
      <c r="L92" s="14">
        <f>ROUND(TREND(G$3:G$94, B$3:E$94, B92:E92), 1)</f>
        <v/>
      </c>
      <c r="M92" s="14">
        <f>ROUND(TREND(G$3:G$94, B$3:F$94, B92:F92), 1)</f>
        <v/>
      </c>
      <c r="N92" s="14">
        <f>ROUNDUP(M92*IF(F92=1, 0.85, 0.8)/17.2, 0)</f>
        <v/>
      </c>
      <c r="O92" s="14">
        <f>ROUND(N92*70%, 0)</f>
        <v/>
      </c>
      <c r="P92" s="14">
        <f>MIN(ROUNDUP(N92*0.2, 0), MAX(0, N92 - O92))</f>
        <v/>
      </c>
      <c r="Q92" s="13">
        <f>IF(C92&gt;20, "Hủy slot (Mưa &gt; 20mm)", "Kích hoạt")</f>
        <v/>
      </c>
      <c r="R92" s="14">
        <f>IF(C92&gt;20, 0, P92)</f>
        <v/>
      </c>
      <c r="S92" s="14">
        <f>IF(C92&gt;20, P92*0.4*Y92, 0)</f>
        <v/>
      </c>
      <c r="T92" s="14">
        <f>MAX(0, J92 - O92 - R92)</f>
        <v/>
      </c>
      <c r="U92" s="14">
        <f>O92 + R92 + T92</f>
        <v/>
      </c>
      <c r="V92" s="14" t="n">
        <v>6</v>
      </c>
      <c r="W92" s="13" t="inlineStr">
        <is>
          <t>2-4</t>
        </is>
      </c>
      <c r="X92" s="14" t="n">
        <v>1</v>
      </c>
      <c r="Y92" s="14">
        <f>IF(OR(B92&gt;=34, F92=1), 11700000, 9000000)</f>
        <v/>
      </c>
      <c r="Z92" s="14" t="n">
        <v>0.02</v>
      </c>
      <c r="AA92" s="14">
        <f>AVERAGE(J89:J91)</f>
        <v/>
      </c>
      <c r="AB92" s="14">
        <f>ABS(J92 - AA92)</f>
        <v/>
      </c>
      <c r="AC92" s="13" t="inlineStr">
        <is>
          <t>Hợp lệ</t>
        </is>
      </c>
      <c r="AD92" s="14">
        <f>IF(AA92="", 0, IF(AA92&gt;J92, (AA92-J92)*2700000, 0))</f>
        <v/>
      </c>
      <c r="AE92" s="14">
        <f>IF(AA92="", 0, IF(J92&gt;AA92, (J92-AA92)*6000000, 0))</f>
        <v/>
      </c>
      <c r="AF92" s="14">
        <f>AD92 + AE92</f>
        <v/>
      </c>
      <c r="AG92" s="14">
        <f>ABS(U92 - J92)</f>
        <v/>
      </c>
      <c r="AH92" s="14">
        <f>IF(U92&gt;J92, (U92-J92)*2700000, 0)</f>
        <v/>
      </c>
      <c r="AI92" s="14">
        <f>IF(J92&gt;U92, (J92-U92)*6000000, 0)</f>
        <v/>
      </c>
      <c r="AJ92" s="14">
        <f>AH92 + AI92 + S92</f>
        <v/>
      </c>
    </row>
    <row r="93">
      <c r="A93" s="13" t="inlineStr">
        <is>
          <t>Ngày 91 (30/07)</t>
        </is>
      </c>
      <c r="B93" s="14" t="n">
        <v>31.6</v>
      </c>
      <c r="C93" s="14" t="n">
        <v>0</v>
      </c>
      <c r="D93" s="14" t="n">
        <v>1</v>
      </c>
      <c r="E93" s="14" t="n">
        <v>38.6</v>
      </c>
      <c r="F93" s="14" t="n">
        <v>1</v>
      </c>
      <c r="G93" s="14" t="n">
        <v>15</v>
      </c>
      <c r="H93" s="14">
        <f>G93*IF(F93=1, 0.85, 0.8)</f>
        <v/>
      </c>
      <c r="I93" s="13" t="inlineStr">
        <is>
          <t>2-4</t>
        </is>
      </c>
      <c r="J93" s="14">
        <f>ROUNDUP(H93/17.2, 0)</f>
        <v/>
      </c>
      <c r="K93" s="14">
        <f>ROUND(TREND(G$3:G$94, E$3:E$94, E93), 1)</f>
        <v/>
      </c>
      <c r="L93" s="14">
        <f>ROUND(TREND(G$3:G$94, B$3:E$94, B93:E93), 1)</f>
        <v/>
      </c>
      <c r="M93" s="14">
        <f>ROUND(TREND(G$3:G$94, B$3:F$94, B93:F93), 1)</f>
        <v/>
      </c>
      <c r="N93" s="14">
        <f>ROUNDUP(M93*IF(F93=1, 0.85, 0.8)/17.2, 0)</f>
        <v/>
      </c>
      <c r="O93" s="14">
        <f>ROUND(N93*70%, 0)</f>
        <v/>
      </c>
      <c r="P93" s="14">
        <f>MIN(ROUNDUP(N93*0.2, 0), MAX(0, N93 - O93))</f>
        <v/>
      </c>
      <c r="Q93" s="13">
        <f>IF(C93&gt;20, "Hủy slot (Mưa &gt; 20mm)", "Kích hoạt")</f>
        <v/>
      </c>
      <c r="R93" s="14">
        <f>IF(C93&gt;20, 0, P93)</f>
        <v/>
      </c>
      <c r="S93" s="14">
        <f>IF(C93&gt;20, P93*0.4*Y93, 0)</f>
        <v/>
      </c>
      <c r="T93" s="14">
        <f>MAX(0, J93 - O93 - R93)</f>
        <v/>
      </c>
      <c r="U93" s="14">
        <f>O93 + R93 + T93</f>
        <v/>
      </c>
      <c r="V93" s="14" t="n">
        <v>3</v>
      </c>
      <c r="W93" s="13" t="inlineStr">
        <is>
          <t>2-4</t>
        </is>
      </c>
      <c r="X93" s="14" t="n">
        <v>2</v>
      </c>
      <c r="Y93" s="14">
        <f>IF(OR(B93&gt;=34, F93=1), 11700000, 9000000)</f>
        <v/>
      </c>
      <c r="Z93" s="14" t="n">
        <v>0.02</v>
      </c>
      <c r="AA93" s="14">
        <f>AVERAGE(J90:J92)</f>
        <v/>
      </c>
      <c r="AB93" s="14">
        <f>ABS(J93 - AA93)</f>
        <v/>
      </c>
      <c r="AC93" s="13" t="inlineStr">
        <is>
          <t>Hợp lệ</t>
        </is>
      </c>
      <c r="AD93" s="14">
        <f>IF(AA93="", 0, IF(AA93&gt;J93, (AA93-J93)*2700000, 0))</f>
        <v/>
      </c>
      <c r="AE93" s="14">
        <f>IF(AA93="", 0, IF(J93&gt;AA93, (J93-AA93)*6000000, 0))</f>
        <v/>
      </c>
      <c r="AF93" s="14">
        <f>AD93 + AE93</f>
        <v/>
      </c>
      <c r="AG93" s="14">
        <f>ABS(U93 - J93)</f>
        <v/>
      </c>
      <c r="AH93" s="14">
        <f>IF(U93&gt;J93, (U93-J93)*2700000, 0)</f>
        <v/>
      </c>
      <c r="AI93" s="14">
        <f>IF(J93&gt;U93, (J93-U93)*6000000, 0)</f>
        <v/>
      </c>
      <c r="AJ93" s="14">
        <f>AH93 + AI93 + S93</f>
        <v/>
      </c>
    </row>
    <row r="94">
      <c r="A94" s="13" t="inlineStr">
        <is>
          <t>Ngày 92 (31/07)</t>
        </is>
      </c>
      <c r="B94" s="14" t="n">
        <v>29.8</v>
      </c>
      <c r="C94" s="14" t="n">
        <v>0</v>
      </c>
      <c r="D94" s="14" t="n">
        <v>1</v>
      </c>
      <c r="E94" s="14" t="n">
        <v>30.6</v>
      </c>
      <c r="F94" s="14" t="n">
        <v>1</v>
      </c>
      <c r="G94" s="14" t="n">
        <v>15</v>
      </c>
      <c r="H94" s="14">
        <f>G94*IF(F94=1, 0.85, 0.8)</f>
        <v/>
      </c>
      <c r="I94" s="13" t="inlineStr">
        <is>
          <t>2-4</t>
        </is>
      </c>
      <c r="J94" s="14">
        <f>ROUNDUP(H94/17.2, 0)</f>
        <v/>
      </c>
      <c r="K94" s="14">
        <f>ROUND(TREND(G$3:G$94, E$3:E$94, E94), 1)</f>
        <v/>
      </c>
      <c r="L94" s="14">
        <f>ROUND(TREND(G$3:G$94, B$3:E$94, B94:E94), 1)</f>
        <v/>
      </c>
      <c r="M94" s="14">
        <f>ROUND(TREND(G$3:G$94, B$3:F$94, B94:F94), 1)</f>
        <v/>
      </c>
      <c r="N94" s="14">
        <f>ROUNDUP(M94*IF(F94=1, 0.85, 0.8)/17.2, 0)</f>
        <v/>
      </c>
      <c r="O94" s="14">
        <f>ROUND(N94*70%, 0)</f>
        <v/>
      </c>
      <c r="P94" s="14">
        <f>MIN(ROUNDUP(N94*0.2, 0), MAX(0, N94 - O94))</f>
        <v/>
      </c>
      <c r="Q94" s="13">
        <f>IF(C94&gt;20, "Hủy slot (Mưa &gt; 20mm)", "Kích hoạt")</f>
        <v/>
      </c>
      <c r="R94" s="14">
        <f>IF(C94&gt;20, 0, P94)</f>
        <v/>
      </c>
      <c r="S94" s="14">
        <f>IF(C94&gt;20, P94*0.4*Y94, 0)</f>
        <v/>
      </c>
      <c r="T94" s="14">
        <f>MAX(0, J94 - O94 - R94)</f>
        <v/>
      </c>
      <c r="U94" s="14">
        <f>O94 + R94 + T94</f>
        <v/>
      </c>
      <c r="V94" s="14" t="n">
        <v>5</v>
      </c>
      <c r="W94" s="13" t="inlineStr">
        <is>
          <t>2-4</t>
        </is>
      </c>
      <c r="X94" s="14" t="n">
        <v>1</v>
      </c>
      <c r="Y94" s="14">
        <f>IF(OR(B94&gt;=34, F94=1), 11700000, 9000000)</f>
        <v/>
      </c>
      <c r="Z94" s="14" t="n">
        <v>0.02</v>
      </c>
      <c r="AA94" s="14">
        <f>AVERAGE(J91:J93)</f>
        <v/>
      </c>
      <c r="AB94" s="14">
        <f>ABS(J94 - AA94)</f>
        <v/>
      </c>
      <c r="AC94" s="13" t="inlineStr">
        <is>
          <t>Hợp lệ</t>
        </is>
      </c>
      <c r="AD94" s="14">
        <f>IF(AA94="", 0, IF(AA94&gt;J94, (AA94-J94)*2700000, 0))</f>
        <v/>
      </c>
      <c r="AE94" s="14">
        <f>IF(AA94="", 0, IF(J94&gt;AA94, (J94-AA94)*6000000, 0))</f>
        <v/>
      </c>
      <c r="AF94" s="14">
        <f>AD94 + AE94</f>
        <v/>
      </c>
      <c r="AG94" s="14">
        <f>ABS(U94 - J94)</f>
        <v/>
      </c>
      <c r="AH94" s="14">
        <f>IF(U94&gt;J94, (U94-J94)*2700000, 0)</f>
        <v/>
      </c>
      <c r="AI94" s="14">
        <f>IF(J94&gt;U94, (J94-U94)*6000000, 0)</f>
        <v/>
      </c>
      <c r="AJ94" s="14">
        <f>AH94 + AI94 + S94</f>
        <v/>
      </c>
    </row>
    <row r="95"/>
    <row r="96">
      <c r="B96" s="15" t="inlineStr">
        <is>
          <t>BẢNG TỔNG HỢP KPI SO SÁNH HIỆU QUẢ TOÀN VỤ: BASELINE VS. FROSTLINK (92 NGÀY)</t>
        </is>
      </c>
    </row>
    <row r="97">
      <c r="B97" s="16" t="inlineStr">
        <is>
          <t>Chỉ số KPI Đánh giá</t>
        </is>
      </c>
      <c r="C97" s="16" t="inlineStr">
        <is>
          <t>Mô hình nền (Baseline)</t>
        </is>
      </c>
      <c r="D97" s="16" t="inlineStr">
        <is>
          <t>Mô hình FrostLink (Đề xuất)</t>
        </is>
      </c>
      <c r="E97" s="16" t="inlineStr">
        <is>
          <t>Chênh lệch (Mức giảm)</t>
        </is>
      </c>
      <c r="F97" s="16" t="inlineStr">
        <is>
          <t>Tỷ lệ cải thiện (%)</t>
        </is>
      </c>
    </row>
    <row r="98">
      <c r="B98" s="17" t="inlineStr">
        <is>
          <t>Sai số số xe trung bình (Truck MAE - Xe/ngày)</t>
        </is>
      </c>
      <c r="C98" s="18">
        <f>AVERAGE(AB6:AB94)</f>
        <v/>
      </c>
      <c r="D98" s="18">
        <f>AVERAGE(AG6:AG94)</f>
        <v/>
      </c>
      <c r="E98" s="18">
        <f>C98 - D98</f>
        <v/>
      </c>
      <c r="F98" s="18">
        <f>(C98 - D98) / C98</f>
        <v/>
      </c>
    </row>
    <row r="99">
      <c r="B99" s="17" t="inlineStr">
        <is>
          <t>Sai số phần trăm có trọng số (Truck WAPE)</t>
        </is>
      </c>
      <c r="C99" s="18">
        <f>SUM(AB6:AB94) / SUM(J6:J94)</f>
        <v/>
      </c>
      <c r="D99" s="18">
        <f>SUM(AG6:AG94) / SUM(J6:J94)</f>
        <v/>
      </c>
      <c r="E99" s="18">
        <f>C99 - D99</f>
        <v/>
      </c>
      <c r="F99" s="18">
        <f>(C99 - D99) / C99</f>
        <v/>
      </c>
    </row>
    <row r="100">
      <c r="B100" s="19" t="inlineStr">
        <is>
          <t>Sai số sản lượng MAE (Tấn/ngày)</t>
        </is>
      </c>
      <c r="C100" s="18">
        <f>AVERAGE(AB6:AB94) * 17.2</f>
        <v/>
      </c>
      <c r="D100" s="18">
        <f>D98 * 17.2</f>
        <v/>
      </c>
      <c r="E100" s="18">
        <f>C100 - D100</f>
        <v/>
      </c>
      <c r="F100" s="18">
        <f>(C100 - D100) / C100</f>
        <v/>
      </c>
    </row>
    <row r="101">
      <c r="B101" s="19" t="inlineStr">
        <is>
          <t>Tổng chi phí thừa xe C_over (VNĐ)</t>
        </is>
      </c>
      <c r="C101" s="18">
        <f>SUM(AD3:AD94)</f>
        <v/>
      </c>
      <c r="D101" s="18">
        <f>SUM(AH3:AH94)</f>
        <v/>
      </c>
      <c r="E101" s="18">
        <f>C101 - D101</f>
        <v/>
      </c>
      <c r="F101" s="18">
        <f>IF(C101=0, 0, (C101 - D101) / C101)</f>
        <v/>
      </c>
    </row>
    <row r="102">
      <c r="B102" s="19" t="inlineStr">
        <is>
          <t>Tổng chi phí thiếu xe C_under (VNĐ)</t>
        </is>
      </c>
      <c r="C102" s="18">
        <f>SUM(AE3:AE94)</f>
        <v/>
      </c>
      <c r="D102" s="18">
        <f>SUM(AI3:AI94)</f>
        <v/>
      </c>
      <c r="E102" s="18">
        <f>C102 - D102</f>
        <v/>
      </c>
      <c r="F102" s="18">
        <f>IF(C102=0, 0, (C102 - D102) / C102)</f>
        <v/>
      </c>
    </row>
    <row r="103">
      <c r="B103" s="19" t="inlineStr">
        <is>
          <t>Chi phí phạt hủy cọc Lớp 2 (VNĐ)</t>
        </is>
      </c>
      <c r="C103" s="18" t="n">
        <v>0</v>
      </c>
      <c r="D103" s="18">
        <f>SUM(S3:S94)</f>
        <v/>
      </c>
      <c r="E103" s="18">
        <f>C103 - D103</f>
        <v/>
      </c>
      <c r="F103" s="18">
        <f>IF(C103=0, "N/A", (C103 - D103) / C103)</f>
        <v/>
      </c>
    </row>
    <row r="104">
      <c r="B104" s="20" t="inlineStr">
        <is>
          <t>TỔNG CHI PHÍ RỦI RO CHUỖI LẠNH (VNĐ)</t>
        </is>
      </c>
      <c r="C104" s="21">
        <f>SUM(AF3:AF94)</f>
        <v/>
      </c>
      <c r="D104" s="21">
        <f>SUM(AJ3:AJ94)</f>
        <v/>
      </c>
      <c r="E104" s="20">
        <f>C104 - D104</f>
        <v/>
      </c>
      <c r="F104" s="20">
        <f>(C104 - D104) / C104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2026-09-16T04:24:59Z</dcterms:created>
  <dcterms:modified xmlns:dcterms="http://purl.org/dc/terms/" xmlns:xsi="http://www.w3.org/2001/XMLSchema-instance" xsi:type="dcterms:W3CDTF">2026-09-16T04:25:00Z</dcterms:modified>
</cp:coreProperties>
</file>