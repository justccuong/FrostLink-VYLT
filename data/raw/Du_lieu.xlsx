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mới" sheetId="1" r:id="rId5"/>
  </sheets>
  <definedNames/>
  <calcPr/>
</workbook>
</file>

<file path=xl/sharedStrings.xml><?xml version="1.0" encoding="utf-8"?>
<sst xmlns="http://schemas.openxmlformats.org/spreadsheetml/2006/main" count="111" uniqueCount="82">
  <si>
    <t>Ngày</t>
  </si>
  <si>
    <t>Temp_t (°C)</t>
  </si>
  <si>
    <t>Rain_t (mm)</t>
  </si>
  <si>
    <t>Ripe_t (%)</t>
  </si>
  <si>
    <t>Order_t (Tấn)</t>
  </si>
  <si>
    <t>PeakDay_t (0/1)</t>
  </si>
  <si>
    <t>Sản lượng thu hoạch (Tấn)</t>
  </si>
  <si>
    <t>Sản lượng đi xe lạnh (Tấn)</t>
  </si>
  <si>
    <t>Nhiệt độ yêu cầu (°C)</t>
  </si>
  <si>
    <t>Số xe yêu cầu (18T)</t>
  </si>
  <si>
    <t>Dự báo T+7 (Tấn)</t>
  </si>
  <si>
    <t>Dự báo T+3 (Tấn)</t>
  </si>
  <si>
    <t>Dự báo T+1 (Tấn)</t>
  </si>
  <si>
    <t>Nhu cầu xe FrostLink (18T)</t>
  </si>
  <si>
    <t>Lớp 1 - Cam kết cứng (70%)</t>
  </si>
  <si>
    <t>Lớp 2 - Quyền chọn linh hoạt (20%)</t>
  </si>
  <si>
    <t>Trạng thái Lớp 2 (Hủy khi Mưa &gt; 20mm)</t>
  </si>
  <si>
    <t>Lớp 2 - Thực chạy</t>
  </si>
  <si>
    <t>Chi phí phạt cọc Lớp 2 (VNĐ)</t>
  </si>
  <si>
    <t>Lớp 3 - Giao ngay (Bù thực tế)</t>
  </si>
  <si>
    <t>Tổng số xe FrostLink thực chạy</t>
  </si>
  <si>
    <t>Số xe sẵn có</t>
  </si>
  <si>
    <t>Nhiệt độ xe sẵn có (°C)</t>
  </si>
  <si>
    <t>Thời gian tìm xe (Giờ)</t>
  </si>
  <si>
    <t>Giá chốt xe (VNĐ)</t>
  </si>
  <si>
    <t>Tỷ lệ hư hỏng (%)</t>
  </si>
  <si>
    <t>Baseline (Dự báo thủ công)</t>
  </si>
  <si>
    <t>Baseline - Sai số xe</t>
  </si>
  <si>
    <t>Kiểm định nhiệt độ</t>
  </si>
  <si>
    <t>Baseline - C_over (VNĐ)</t>
  </si>
  <si>
    <t>Baseline - C_under (VNĐ)</t>
  </si>
  <si>
    <t>Baseline - Tổng chi phí rủi ro (VNĐ)</t>
  </si>
  <si>
    <t>FrostLink - Sai số xe</t>
  </si>
  <si>
    <t>FrostLink - C_over (VNĐ)</t>
  </si>
  <si>
    <t>FrostLink - C_under (VNĐ)</t>
  </si>
  <si>
    <t>FrostLink - Tổng chi phí rủi ro (VNĐ)</t>
  </si>
  <si>
    <t>Ngày 01</t>
  </si>
  <si>
    <t>2-4</t>
  </si>
  <si>
    <t>Ngày 02</t>
  </si>
  <si>
    <t>Ngày 03</t>
  </si>
  <si>
    <t>Ngày 04</t>
  </si>
  <si>
    <t>Ngày 05</t>
  </si>
  <si>
    <t>Ngày 06</t>
  </si>
  <si>
    <t>Ngày 07</t>
  </si>
  <si>
    <t>Ngày 08</t>
  </si>
  <si>
    <t>Ngày 09</t>
  </si>
  <si>
    <t>8-10 (Lỗi)</t>
  </si>
  <si>
    <t>Ngày 10</t>
  </si>
  <si>
    <t>Ngày 11</t>
  </si>
  <si>
    <t>Ngày 12</t>
  </si>
  <si>
    <t>Ngày 13</t>
  </si>
  <si>
    <t>Ngày 14</t>
  </si>
  <si>
    <t>Ngày 15</t>
  </si>
  <si>
    <t>Ngày 16</t>
  </si>
  <si>
    <t>5-8 (Lỗi)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</si>
  <si>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</si>
  <si>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</si>
  <si>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</si>
  <si>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</si>
  <si>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</si>
  <si>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</si>
  <si>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</si>
  <si>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</si>
  <si>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</si>
  <si>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</si>
  <si>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</si>
  <si>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</si>
  <si>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</si>
  <si>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</si>
  <si>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BẢNG TỔNG HỢP KPI SO SÁNH HIỆU QUẢ: MÔ HÌNH NỀN (BASELINE) VS. MÔ HÌNH FROSTLINK</t>
  </si>
  <si>
    <t>Chỉ số KPI Đánh giá</t>
  </si>
  <si>
    <t>Mô hình nền (Baseline)</t>
  </si>
  <si>
    <t>Mô hình FrostLink (Đề xuất)</t>
  </si>
  <si>
    <t>Chênh lệch (Mức giảm)</t>
  </si>
  <si>
    <t>Tỷ lệ cải thiện (%)</t>
  </si>
  <si>
    <t>Sai số số xe trung bình (Truck MAE - Xe/ngày)</t>
  </si>
  <si>
    <t>Sai số phần trăm có trọng số (Truck WAPE)</t>
  </si>
  <si>
    <t>Sai số sản lượng MAE (Tấn/ngày)</t>
  </si>
  <si>
    <t>Tổng chi phí thừa xe C_over (VNĐ)</t>
  </si>
  <si>
    <t>Tổng chi phí thiếu xe C_under (VNĐ)</t>
  </si>
  <si>
    <t>Chi phí phạt hủy cọc Lớp 2 (VNĐ)</t>
  </si>
  <si>
    <t>TỔNG CHI PHÍ RỦI RO CHUỖI LẠNH (VNĐ)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</si>
</sst>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THÁNG &quot;m/yyyy"/>
    <numFmt numFmtId="165" formatCode="#,##0.0"/>
    <numFmt numFmtId="166" formatCode="#,##0 &quot;đ&quot;"/>
    <numFmt numFmtId="167" formatCode="d-m"/>
    <numFmt numFmtId="168" formatCode="#,##0&quot;%&quot;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466"/>
        <bgColor rgb="FFFFF466"/>
      </patternFill>
    </fill>
    <fill>
      <patternFill patternType="solid">
        <fgColor rgb="FFEEEEEE"/>
        <bgColor rgb="FFEEEEEE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9" xfId="0" applyAlignment="1" applyBorder="1" applyFont="1" applyNumberFormat="1">
      <alignment horizontal="center" readingOrder="0" vertical="center"/>
    </xf>
    <xf borderId="2" fillId="0" fontId="3" numFmtId="165" xfId="0" applyAlignment="1" applyBorder="1" applyFont="1" applyNumberFormat="1">
      <alignment horizontal="center" vertical="center"/>
    </xf>
    <xf quotePrefix="1" borderId="2" fillId="0" fontId="3" numFmtId="49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2" fillId="0" fontId="3" numFmtId="167" xfId="0" applyAlignment="1" applyBorder="1" applyFont="1" applyNumberFormat="1">
      <alignment horizontal="center" readingOrder="0" vertical="center"/>
    </xf>
    <xf borderId="2" fillId="0" fontId="3" numFmtId="166" xfId="0" applyAlignment="1" applyBorder="1" applyFont="1" applyNumberFormat="1">
      <alignment horizontal="right" readingOrder="0" vertical="center"/>
    </xf>
    <xf borderId="2" fillId="0" fontId="3" numFmtId="168" xfId="0" applyAlignment="1" applyBorder="1" applyFont="1" applyNumberFormat="1">
      <alignment horizontal="center" readingOrder="0" vertical="center"/>
    </xf>
    <xf borderId="2" fillId="0" fontId="3" numFmtId="166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3" fillId="3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3" fontId="2" numFmtId="0" xfId="0" applyAlignment="1" applyBorder="1" applyFill="1" applyFont="1">
      <alignment horizontal="center" readingOrder="0" vertical="center"/>
    </xf>
    <xf borderId="6" fillId="3" fontId="3" numFmtId="4" xfId="0" applyAlignment="1" applyBorder="1" applyFill="1" applyFont="1" applyNumberFormat="1">
      <alignment horizontal="center" vertical="center"/>
    </xf>
    <xf borderId="6" fillId="3" fontId="3" numFmtId="10" xfId="0" applyAlignment="1" applyBorder="1" applyFill="1" applyFont="1" applyNumberFormat="1">
      <alignment horizontal="center" vertical="center"/>
    </xf>
    <xf borderId="6" fillId="3" fontId="3" numFmtId="166" xfId="0" applyAlignment="1" applyBorder="1" applyFill="1" applyFont="1" applyNumberFormat="1">
      <alignment horizontal="center" vertical="center"/>
    </xf>
    <xf borderId="6" fillId="3" fontId="3" numFmtId="166" xfId="0" applyAlignment="1" applyBorder="1" applyFill="1" applyFont="1" applyNumberForma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center"/>
    </xf>
    <xf borderId="6" fillId="3" fontId="6" numFmtId="166" xfId="0" applyAlignment="1" applyBorder="1" applyFill="1" applyFont="1" applyNumberFormat="1">
      <alignment horizontal="center" vertical="center"/>
    </xf>
    <xf borderId="6" fillId="3" fontId="6" numFmtId="10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13"/>
    <col customWidth="1" min="2" max="2" width="43.25"/>
    <col customWidth="1" min="3" max="3" width="21.63"/>
    <col customWidth="1" min="4" max="4" width="25.25"/>
    <col customWidth="1" min="5" max="5" width="20.63"/>
    <col customWidth="1" min="6" max="6" width="16.63"/>
    <col customWidth="1" min="7" max="7" width="16.38"/>
    <col customWidth="1" min="8" max="8" width="16.13"/>
    <col customWidth="1" min="9" max="9" width="14.75"/>
    <col customWidth="1" min="10" max="10" width="14.25"/>
    <col customWidth="1" min="11" max="13" width="9.63"/>
    <col customWidth="1" min="14" max="14" width="19.63"/>
    <col customWidth="1" min="15" max="15" width="17.0"/>
    <col customWidth="1" min="16" max="16" width="22.25"/>
    <col customWidth="1" min="17" max="17" width="24.63"/>
    <col customWidth="1" min="18" max="18" width="10.63"/>
    <col customWidth="1" min="19" max="19" width="17.63"/>
    <col customWidth="1" min="20" max="20" width="20.75"/>
    <col customWidth="1" min="21" max="21" width="20.13"/>
    <col customWidth="1" min="22" max="22" width="10.13"/>
    <col customWidth="1" min="23" max="23" width="16.0"/>
    <col customWidth="1" min="24" max="25" width="13.13"/>
    <col customWidth="1" min="26" max="26" width="11.13"/>
    <col customWidth="1" min="27" max="27" width="16.5"/>
    <col customWidth="1" min="28" max="28" width="13.5"/>
    <col customWidth="1" min="29" max="29" width="12.75"/>
    <col customWidth="1" min="30" max="30" width="14.0"/>
    <col customWidth="1" min="31" max="31" width="15.0"/>
    <col customWidth="1" min="32" max="32" width="22.13"/>
    <col customWidth="1" min="33" max="33" width="14.13"/>
    <col customWidth="1" min="34" max="34" width="14.63"/>
    <col customWidth="1" min="35" max="35" width="15.63"/>
    <col customWidth="1" min="36" max="36" width="22.63"/>
  </cols>
  <sheetData>
    <row r="1" ht="30.0" customHeight="1">
      <c r="A1" s="1">
        <v>46174.0</v>
      </c>
    </row>
    <row r="2" ht="33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3"/>
      <c r="AL2" s="3"/>
      <c r="AM2" s="3"/>
      <c r="AN2" s="3"/>
    </row>
    <row r="3">
      <c r="A3" s="4" t="s">
        <v>36</v>
      </c>
      <c r="B3" s="5">
        <v>36.0</v>
      </c>
      <c r="C3" s="5">
        <v>0.0</v>
      </c>
      <c r="D3" s="6">
        <v>0.35</v>
      </c>
      <c r="E3" s="5">
        <v>22.0</v>
      </c>
      <c r="F3" s="5">
        <v>0.0</v>
      </c>
      <c r="G3" s="5">
        <v>20.0</v>
      </c>
      <c r="H3" s="7">
        <f t="shared" ref="H3:H32" si="1">G3*IF(F3=1, 0.85, 0.8)</f>
        <v>16</v>
      </c>
      <c r="I3" s="8" t="s">
        <v>37</v>
      </c>
      <c r="J3" s="9">
        <f t="shared" ref="J3:J32" si="2">ROUNDUP(H3/4.8, 0)</f>
        <v>4</v>
      </c>
      <c r="K3" s="7">
        <f t="shared" ref="K3:K32" si="3">ROUND(TREND(G$3:G$32, E$3:E$32, E3), 1)</f>
        <v>42.1</v>
      </c>
      <c r="L3" s="7">
        <f t="shared" ref="L3:L32" si="4">ROUND(TREND(G$3:G$32, B$3:E$32, B3:E3), 1)</f>
        <v>25.1</v>
      </c>
      <c r="M3" s="7">
        <f t="shared" ref="M3:M32" si="5">ROUND(TREND(G$3:G$32, B$3:F$32, B3:F3), 1)</f>
        <v>25.7</v>
      </c>
      <c r="N3" s="9">
        <f t="shared" ref="N3:N32" si="6">ROUNDUP(L3*IF(F3=1, 0.85, 0.8)/4.8, 0)</f>
        <v>5</v>
      </c>
      <c r="O3" s="9">
        <f t="shared" ref="O3:O32" si="7">ROUND(N3*70%, 0)</f>
        <v>4</v>
      </c>
      <c r="P3" s="9">
        <f t="shared" ref="P3:P32" si="8">ROUND(N3*20%, 0)</f>
        <v>1</v>
      </c>
      <c r="Q3" s="9" t="str">
        <f t="shared" ref="Q3:Q32" si="9">IF(C3&gt;20, "Hủy slot (Mưa &gt; 20mm)", "Kích hoạt")</f>
        <v>Kích hoạt</v>
      </c>
      <c r="R3" s="9">
        <f t="shared" ref="R3:R32" si="10">IF(C3&gt;20, 0, P3)</f>
        <v>1</v>
      </c>
      <c r="S3" s="10">
        <f t="shared" ref="S3:S32" si="11">IF(C3&gt;20, P3*150000, 0)</f>
        <v>0</v>
      </c>
      <c r="T3" s="9">
        <f t="shared" ref="T3:T32" si="12">MAX(0, J3 - O3 - R3)</f>
        <v>0</v>
      </c>
      <c r="U3" s="9">
        <f t="shared" ref="U3:U32" si="13">O3 + R3 + T3</f>
        <v>5</v>
      </c>
      <c r="V3" s="5">
        <v>15.0</v>
      </c>
      <c r="W3" s="11">
        <v>46114.0</v>
      </c>
      <c r="X3" s="5">
        <v>2.0</v>
      </c>
      <c r="Y3" s="12">
        <f t="shared" ref="Y3:Y32" si="14">IF(OR(B3&gt;=34, F3=1), 11700000, 9000000)</f>
        <v>11700000</v>
      </c>
      <c r="Z3" s="13">
        <v>2.0</v>
      </c>
      <c r="AA3" s="7"/>
      <c r="AB3" s="7"/>
      <c r="AC3" s="9" t="str">
        <f t="shared" ref="AC3:AC32" si="15">IF(OR(W3="8-10 (Lỗi)", W3="5-8 (Lỗi)"), "Loại", "Hợp lệ")</f>
        <v>Hợp lệ</v>
      </c>
      <c r="AD3" s="14">
        <f t="shared" ref="AD3:AD32" si="16">IF(AA3="", 0, IF(AA3&gt;J3, (AA3-J3)*1500000, 0))</f>
        <v>0</v>
      </c>
      <c r="AE3" s="14">
        <f t="shared" ref="AE3:AE32" si="17">IF(AA3="", 0, IF(J3&gt;AA3, (J3-AA3)*4500000, 0))</f>
        <v>0</v>
      </c>
      <c r="AF3" s="14">
        <f t="shared" ref="AF3:AF32" si="18">AD3 + AE3</f>
        <v>0</v>
      </c>
      <c r="AG3" s="9">
        <f t="shared" ref="AG3:AG32" si="19">ABS(J3 - N3)</f>
        <v>1</v>
      </c>
      <c r="AH3" s="14">
        <f t="shared" ref="AH3:AH32" si="20">IF(U3&gt;J3, (U3-J3)*1500000, 0)</f>
        <v>1500000</v>
      </c>
      <c r="AI3" s="14">
        <f t="shared" ref="AI3:AI32" si="21">IF(J3&gt;U3, (J3-U3)*4500000, 0)</f>
        <v>0</v>
      </c>
      <c r="AJ3" s="14">
        <f t="shared" ref="AJ3:AJ32" si="22">AH3 + AI3 + S3</f>
        <v>1500000</v>
      </c>
    </row>
    <row r="4">
      <c r="A4" s="4" t="s">
        <v>38</v>
      </c>
      <c r="B4" s="5">
        <v>36.0</v>
      </c>
      <c r="C4" s="5">
        <v>0.0</v>
      </c>
      <c r="D4" s="6">
        <v>0.5</v>
      </c>
      <c r="E4" s="5">
        <v>28.0</v>
      </c>
      <c r="F4" s="5">
        <v>0.0</v>
      </c>
      <c r="G4" s="5">
        <v>25.0</v>
      </c>
      <c r="H4" s="7">
        <f t="shared" si="1"/>
        <v>20</v>
      </c>
      <c r="I4" s="8" t="s">
        <v>37</v>
      </c>
      <c r="J4" s="9">
        <f t="shared" si="2"/>
        <v>5</v>
      </c>
      <c r="K4" s="7">
        <f t="shared" si="3"/>
        <v>45.2</v>
      </c>
      <c r="L4" s="7">
        <f t="shared" si="4"/>
        <v>24.7</v>
      </c>
      <c r="M4" s="7">
        <f t="shared" si="5"/>
        <v>24.9</v>
      </c>
      <c r="N4" s="9">
        <f t="shared" si="6"/>
        <v>5</v>
      </c>
      <c r="O4" s="9">
        <f t="shared" si="7"/>
        <v>4</v>
      </c>
      <c r="P4" s="9">
        <f t="shared" si="8"/>
        <v>1</v>
      </c>
      <c r="Q4" s="9" t="str">
        <f t="shared" si="9"/>
        <v>Kích hoạt</v>
      </c>
      <c r="R4" s="9">
        <f t="shared" si="10"/>
        <v>1</v>
      </c>
      <c r="S4" s="10">
        <f t="shared" si="11"/>
        <v>0</v>
      </c>
      <c r="T4" s="9">
        <f t="shared" si="12"/>
        <v>0</v>
      </c>
      <c r="U4" s="9">
        <f t="shared" si="13"/>
        <v>5</v>
      </c>
      <c r="V4" s="5">
        <v>14.0</v>
      </c>
      <c r="W4" s="11">
        <v>46114.0</v>
      </c>
      <c r="X4" s="5">
        <v>2.0</v>
      </c>
      <c r="Y4" s="12">
        <f t="shared" si="14"/>
        <v>11700000</v>
      </c>
      <c r="Z4" s="13">
        <v>2.0</v>
      </c>
      <c r="AA4" s="7"/>
      <c r="AB4" s="7"/>
      <c r="AC4" s="9" t="str">
        <f t="shared" si="15"/>
        <v>Hợp lệ</v>
      </c>
      <c r="AD4" s="14">
        <f t="shared" si="16"/>
        <v>0</v>
      </c>
      <c r="AE4" s="14">
        <f t="shared" si="17"/>
        <v>0</v>
      </c>
      <c r="AF4" s="14">
        <f t="shared" si="18"/>
        <v>0</v>
      </c>
      <c r="AG4" s="9">
        <f t="shared" si="19"/>
        <v>0</v>
      </c>
      <c r="AH4" s="14">
        <f t="shared" si="20"/>
        <v>0</v>
      </c>
      <c r="AI4" s="14">
        <f t="shared" si="21"/>
        <v>0</v>
      </c>
      <c r="AJ4" s="14">
        <f t="shared" si="22"/>
        <v>0</v>
      </c>
    </row>
    <row r="5">
      <c r="A5" s="4" t="s">
        <v>39</v>
      </c>
      <c r="B5" s="5">
        <v>36.0</v>
      </c>
      <c r="C5" s="5">
        <v>0.0</v>
      </c>
      <c r="D5" s="6">
        <v>0.65</v>
      </c>
      <c r="E5" s="5">
        <v>35.0</v>
      </c>
      <c r="F5" s="5">
        <v>0.0</v>
      </c>
      <c r="G5" s="5">
        <v>15.0</v>
      </c>
      <c r="H5" s="7">
        <f t="shared" si="1"/>
        <v>12</v>
      </c>
      <c r="I5" s="8" t="s">
        <v>37</v>
      </c>
      <c r="J5" s="9">
        <f t="shared" si="2"/>
        <v>3</v>
      </c>
      <c r="K5" s="7">
        <f t="shared" si="3"/>
        <v>48.8</v>
      </c>
      <c r="L5" s="7">
        <f t="shared" si="4"/>
        <v>25.4</v>
      </c>
      <c r="M5" s="7">
        <f t="shared" si="5"/>
        <v>25.1</v>
      </c>
      <c r="N5" s="9">
        <f t="shared" si="6"/>
        <v>5</v>
      </c>
      <c r="O5" s="9">
        <f t="shared" si="7"/>
        <v>4</v>
      </c>
      <c r="P5" s="9">
        <f t="shared" si="8"/>
        <v>1</v>
      </c>
      <c r="Q5" s="9" t="str">
        <f t="shared" si="9"/>
        <v>Kích hoạt</v>
      </c>
      <c r="R5" s="9">
        <f t="shared" si="10"/>
        <v>1</v>
      </c>
      <c r="S5" s="10">
        <f t="shared" si="11"/>
        <v>0</v>
      </c>
      <c r="T5" s="9">
        <f t="shared" si="12"/>
        <v>0</v>
      </c>
      <c r="U5" s="9">
        <f t="shared" si="13"/>
        <v>5</v>
      </c>
      <c r="V5" s="5">
        <v>15.0</v>
      </c>
      <c r="W5" s="11">
        <v>46114.0</v>
      </c>
      <c r="X5" s="5">
        <v>1.0</v>
      </c>
      <c r="Y5" s="12">
        <f t="shared" si="14"/>
        <v>11700000</v>
      </c>
      <c r="Z5" s="13">
        <v>1.0</v>
      </c>
      <c r="AA5" s="7"/>
      <c r="AB5" s="7"/>
      <c r="AC5" s="9" t="str">
        <f t="shared" si="15"/>
        <v>Hợp lệ</v>
      </c>
      <c r="AD5" s="14">
        <f t="shared" si="16"/>
        <v>0</v>
      </c>
      <c r="AE5" s="14">
        <f t="shared" si="17"/>
        <v>0</v>
      </c>
      <c r="AF5" s="14">
        <f t="shared" si="18"/>
        <v>0</v>
      </c>
      <c r="AG5" s="9">
        <f t="shared" si="19"/>
        <v>2</v>
      </c>
      <c r="AH5" s="14">
        <f t="shared" si="20"/>
        <v>3000000</v>
      </c>
      <c r="AI5" s="14">
        <f t="shared" si="21"/>
        <v>0</v>
      </c>
      <c r="AJ5" s="14">
        <f t="shared" si="22"/>
        <v>3000000</v>
      </c>
    </row>
    <row r="6">
      <c r="A6" s="4" t="s">
        <v>40</v>
      </c>
      <c r="B6" s="5">
        <v>33.0</v>
      </c>
      <c r="C6" s="5">
        <v>0.0</v>
      </c>
      <c r="D6" s="6">
        <v>0.75</v>
      </c>
      <c r="E6" s="5">
        <v>30.0</v>
      </c>
      <c r="F6" s="5">
        <v>0.0</v>
      </c>
      <c r="G6" s="5">
        <v>30.0</v>
      </c>
      <c r="H6" s="7">
        <f t="shared" si="1"/>
        <v>24</v>
      </c>
      <c r="I6" s="8" t="s">
        <v>37</v>
      </c>
      <c r="J6" s="9">
        <f t="shared" si="2"/>
        <v>5</v>
      </c>
      <c r="K6" s="7">
        <f t="shared" si="3"/>
        <v>46.2</v>
      </c>
      <c r="L6" s="7">
        <f t="shared" si="4"/>
        <v>37.8</v>
      </c>
      <c r="M6" s="7">
        <f t="shared" si="5"/>
        <v>35.5</v>
      </c>
      <c r="N6" s="9">
        <f t="shared" si="6"/>
        <v>7</v>
      </c>
      <c r="O6" s="9">
        <f t="shared" si="7"/>
        <v>5</v>
      </c>
      <c r="P6" s="9">
        <f t="shared" si="8"/>
        <v>1</v>
      </c>
      <c r="Q6" s="9" t="str">
        <f t="shared" si="9"/>
        <v>Kích hoạt</v>
      </c>
      <c r="R6" s="9">
        <f t="shared" si="10"/>
        <v>1</v>
      </c>
      <c r="S6" s="10">
        <f t="shared" si="11"/>
        <v>0</v>
      </c>
      <c r="T6" s="9">
        <f t="shared" si="12"/>
        <v>0</v>
      </c>
      <c r="U6" s="9">
        <f t="shared" si="13"/>
        <v>6</v>
      </c>
      <c r="V6" s="5">
        <v>13.0</v>
      </c>
      <c r="W6" s="11">
        <v>46114.0</v>
      </c>
      <c r="X6" s="5">
        <v>2.0</v>
      </c>
      <c r="Y6" s="12">
        <f t="shared" si="14"/>
        <v>9000000</v>
      </c>
      <c r="Z6" s="13">
        <v>2.0</v>
      </c>
      <c r="AA6" s="7">
        <f t="shared" ref="AA6:AA32" si="23">AVERAGE(J3:J5)</f>
        <v>4</v>
      </c>
      <c r="AB6" s="7">
        <f t="shared" ref="AB6:AB32" si="24">ABS(J6 - AA6)</f>
        <v>1</v>
      </c>
      <c r="AC6" s="9" t="str">
        <f t="shared" si="15"/>
        <v>Hợp lệ</v>
      </c>
      <c r="AD6" s="14">
        <f t="shared" si="16"/>
        <v>0</v>
      </c>
      <c r="AE6" s="14">
        <f t="shared" si="17"/>
        <v>4500000</v>
      </c>
      <c r="AF6" s="14">
        <f t="shared" si="18"/>
        <v>4500000</v>
      </c>
      <c r="AG6" s="9">
        <f t="shared" si="19"/>
        <v>2</v>
      </c>
      <c r="AH6" s="14">
        <f t="shared" si="20"/>
        <v>1500000</v>
      </c>
      <c r="AI6" s="14">
        <f t="shared" si="21"/>
        <v>0</v>
      </c>
      <c r="AJ6" s="14">
        <f t="shared" si="22"/>
        <v>1500000</v>
      </c>
    </row>
    <row r="7">
      <c r="A7" s="4" t="s">
        <v>41</v>
      </c>
      <c r="B7" s="5">
        <v>30.0</v>
      </c>
      <c r="C7" s="5">
        <v>20.0</v>
      </c>
      <c r="D7" s="6">
        <v>0.8</v>
      </c>
      <c r="E7" s="5">
        <v>18.0</v>
      </c>
      <c r="F7" s="5">
        <v>1.0</v>
      </c>
      <c r="G7" s="5">
        <v>35.0</v>
      </c>
      <c r="H7" s="7">
        <f t="shared" si="1"/>
        <v>29.75</v>
      </c>
      <c r="I7" s="8" t="s">
        <v>37</v>
      </c>
      <c r="J7" s="9">
        <f t="shared" si="2"/>
        <v>7</v>
      </c>
      <c r="K7" s="7">
        <f t="shared" si="3"/>
        <v>40.1</v>
      </c>
      <c r="L7" s="7">
        <f t="shared" si="4"/>
        <v>45.6</v>
      </c>
      <c r="M7" s="7">
        <f t="shared" si="5"/>
        <v>51.6</v>
      </c>
      <c r="N7" s="9">
        <f t="shared" si="6"/>
        <v>9</v>
      </c>
      <c r="O7" s="9">
        <f t="shared" si="7"/>
        <v>6</v>
      </c>
      <c r="P7" s="9">
        <f t="shared" si="8"/>
        <v>2</v>
      </c>
      <c r="Q7" s="9" t="str">
        <f t="shared" si="9"/>
        <v>Kích hoạt</v>
      </c>
      <c r="R7" s="9">
        <f t="shared" si="10"/>
        <v>2</v>
      </c>
      <c r="S7" s="10">
        <f t="shared" si="11"/>
        <v>0</v>
      </c>
      <c r="T7" s="9">
        <f t="shared" si="12"/>
        <v>0</v>
      </c>
      <c r="U7" s="9">
        <f t="shared" si="13"/>
        <v>8</v>
      </c>
      <c r="V7" s="5">
        <v>10.0</v>
      </c>
      <c r="W7" s="11">
        <v>46114.0</v>
      </c>
      <c r="X7" s="5">
        <v>3.0</v>
      </c>
      <c r="Y7" s="12">
        <f t="shared" si="14"/>
        <v>11700000</v>
      </c>
      <c r="Z7" s="13">
        <v>3.0</v>
      </c>
      <c r="AA7" s="7">
        <f t="shared" si="23"/>
        <v>4.333333333</v>
      </c>
      <c r="AB7" s="7">
        <f t="shared" si="24"/>
        <v>2.666666667</v>
      </c>
      <c r="AC7" s="9" t="str">
        <f t="shared" si="15"/>
        <v>Hợp lệ</v>
      </c>
      <c r="AD7" s="14">
        <f t="shared" si="16"/>
        <v>0</v>
      </c>
      <c r="AE7" s="14">
        <f t="shared" si="17"/>
        <v>12000000</v>
      </c>
      <c r="AF7" s="14">
        <f t="shared" si="18"/>
        <v>12000000</v>
      </c>
      <c r="AG7" s="9">
        <f t="shared" si="19"/>
        <v>2</v>
      </c>
      <c r="AH7" s="14">
        <f t="shared" si="20"/>
        <v>1500000</v>
      </c>
      <c r="AI7" s="14">
        <f t="shared" si="21"/>
        <v>0</v>
      </c>
      <c r="AJ7" s="14">
        <f t="shared" si="22"/>
        <v>1500000</v>
      </c>
    </row>
    <row r="8">
      <c r="A8" s="4" t="s">
        <v>42</v>
      </c>
      <c r="B8" s="5">
        <v>34.0</v>
      </c>
      <c r="C8" s="5">
        <v>0.0</v>
      </c>
      <c r="D8" s="6">
        <v>0.88</v>
      </c>
      <c r="E8" s="5">
        <v>42.0</v>
      </c>
      <c r="F8" s="5">
        <v>1.0</v>
      </c>
      <c r="G8" s="5">
        <v>45.0</v>
      </c>
      <c r="H8" s="7">
        <f t="shared" si="1"/>
        <v>38.25</v>
      </c>
      <c r="I8" s="8" t="s">
        <v>37</v>
      </c>
      <c r="J8" s="9">
        <f t="shared" si="2"/>
        <v>8</v>
      </c>
      <c r="K8" s="7">
        <f t="shared" si="3"/>
        <v>52.4</v>
      </c>
      <c r="L8" s="7">
        <f t="shared" si="4"/>
        <v>37.2</v>
      </c>
      <c r="M8" s="7">
        <f t="shared" si="5"/>
        <v>43.7</v>
      </c>
      <c r="N8" s="9">
        <f t="shared" si="6"/>
        <v>7</v>
      </c>
      <c r="O8" s="9">
        <f t="shared" si="7"/>
        <v>5</v>
      </c>
      <c r="P8" s="9">
        <f t="shared" si="8"/>
        <v>1</v>
      </c>
      <c r="Q8" s="9" t="str">
        <f t="shared" si="9"/>
        <v>Kích hoạt</v>
      </c>
      <c r="R8" s="9">
        <f t="shared" si="10"/>
        <v>1</v>
      </c>
      <c r="S8" s="10">
        <f t="shared" si="11"/>
        <v>0</v>
      </c>
      <c r="T8" s="9">
        <f t="shared" si="12"/>
        <v>2</v>
      </c>
      <c r="U8" s="9">
        <f t="shared" si="13"/>
        <v>8</v>
      </c>
      <c r="V8" s="5">
        <v>9.0</v>
      </c>
      <c r="W8" s="11">
        <v>46114.0</v>
      </c>
      <c r="X8" s="5">
        <v>6.0</v>
      </c>
      <c r="Y8" s="12">
        <f t="shared" si="14"/>
        <v>11700000</v>
      </c>
      <c r="Z8" s="13">
        <v>5.0</v>
      </c>
      <c r="AA8" s="7">
        <f t="shared" si="23"/>
        <v>5</v>
      </c>
      <c r="AB8" s="7">
        <f t="shared" si="24"/>
        <v>3</v>
      </c>
      <c r="AC8" s="9" t="str">
        <f t="shared" si="15"/>
        <v>Hợp lệ</v>
      </c>
      <c r="AD8" s="14">
        <f t="shared" si="16"/>
        <v>0</v>
      </c>
      <c r="AE8" s="14">
        <f t="shared" si="17"/>
        <v>13500000</v>
      </c>
      <c r="AF8" s="14">
        <f t="shared" si="18"/>
        <v>13500000</v>
      </c>
      <c r="AG8" s="9">
        <f t="shared" si="19"/>
        <v>1</v>
      </c>
      <c r="AH8" s="14">
        <f t="shared" si="20"/>
        <v>0</v>
      </c>
      <c r="AI8" s="14">
        <f t="shared" si="21"/>
        <v>0</v>
      </c>
      <c r="AJ8" s="14">
        <f t="shared" si="22"/>
        <v>0</v>
      </c>
    </row>
    <row r="9">
      <c r="A9" s="4" t="s">
        <v>43</v>
      </c>
      <c r="B9" s="5">
        <v>37.0</v>
      </c>
      <c r="C9" s="5">
        <v>0.0</v>
      </c>
      <c r="D9" s="6">
        <v>0.95</v>
      </c>
      <c r="E9" s="5">
        <v>65.0</v>
      </c>
      <c r="F9" s="5">
        <v>0.0</v>
      </c>
      <c r="G9" s="5">
        <v>65.0</v>
      </c>
      <c r="H9" s="7">
        <f t="shared" si="1"/>
        <v>52</v>
      </c>
      <c r="I9" s="8" t="s">
        <v>37</v>
      </c>
      <c r="J9" s="9">
        <f t="shared" si="2"/>
        <v>11</v>
      </c>
      <c r="K9" s="7">
        <f t="shared" si="3"/>
        <v>64.2</v>
      </c>
      <c r="L9" s="7">
        <f t="shared" si="4"/>
        <v>35.7</v>
      </c>
      <c r="M9" s="7">
        <f t="shared" si="5"/>
        <v>34.8</v>
      </c>
      <c r="N9" s="9">
        <f t="shared" si="6"/>
        <v>6</v>
      </c>
      <c r="O9" s="9">
        <f t="shared" si="7"/>
        <v>4</v>
      </c>
      <c r="P9" s="9">
        <f t="shared" si="8"/>
        <v>1</v>
      </c>
      <c r="Q9" s="9" t="str">
        <f t="shared" si="9"/>
        <v>Kích hoạt</v>
      </c>
      <c r="R9" s="9">
        <f t="shared" si="10"/>
        <v>1</v>
      </c>
      <c r="S9" s="10">
        <f t="shared" si="11"/>
        <v>0</v>
      </c>
      <c r="T9" s="9">
        <f t="shared" si="12"/>
        <v>6</v>
      </c>
      <c r="U9" s="9">
        <f t="shared" si="13"/>
        <v>11</v>
      </c>
      <c r="V9" s="5">
        <v>15.0</v>
      </c>
      <c r="W9" s="11">
        <v>46114.0</v>
      </c>
      <c r="X9" s="5">
        <v>12.0</v>
      </c>
      <c r="Y9" s="12">
        <f t="shared" si="14"/>
        <v>11700000</v>
      </c>
      <c r="Z9" s="13">
        <v>10.0</v>
      </c>
      <c r="AA9" s="7">
        <f t="shared" si="23"/>
        <v>6.666666667</v>
      </c>
      <c r="AB9" s="7">
        <f t="shared" si="24"/>
        <v>4.333333333</v>
      </c>
      <c r="AC9" s="9" t="str">
        <f t="shared" si="15"/>
        <v>Hợp lệ</v>
      </c>
      <c r="AD9" s="14">
        <f t="shared" si="16"/>
        <v>0</v>
      </c>
      <c r="AE9" s="14">
        <f t="shared" si="17"/>
        <v>19500000</v>
      </c>
      <c r="AF9" s="14">
        <f t="shared" si="18"/>
        <v>19500000</v>
      </c>
      <c r="AG9" s="9">
        <f t="shared" si="19"/>
        <v>5</v>
      </c>
      <c r="AH9" s="14">
        <f t="shared" si="20"/>
        <v>0</v>
      </c>
      <c r="AI9" s="14">
        <f t="shared" si="21"/>
        <v>0</v>
      </c>
      <c r="AJ9" s="14">
        <f t="shared" si="22"/>
        <v>0</v>
      </c>
    </row>
    <row r="10">
      <c r="A10" s="4" t="s">
        <v>44</v>
      </c>
      <c r="B10" s="5">
        <v>32.0</v>
      </c>
      <c r="C10" s="5">
        <v>0.0</v>
      </c>
      <c r="D10" s="6">
        <v>0.2</v>
      </c>
      <c r="E10" s="5">
        <v>32.0</v>
      </c>
      <c r="F10" s="5">
        <v>0.0</v>
      </c>
      <c r="G10" s="5">
        <v>75.0</v>
      </c>
      <c r="H10" s="7">
        <f t="shared" si="1"/>
        <v>60</v>
      </c>
      <c r="I10" s="8" t="s">
        <v>37</v>
      </c>
      <c r="J10" s="9">
        <f t="shared" si="2"/>
        <v>13</v>
      </c>
      <c r="K10" s="7">
        <f t="shared" si="3"/>
        <v>47.3</v>
      </c>
      <c r="L10" s="7">
        <f t="shared" si="4"/>
        <v>70.8</v>
      </c>
      <c r="M10" s="7">
        <f t="shared" si="5"/>
        <v>69</v>
      </c>
      <c r="N10" s="9">
        <f t="shared" si="6"/>
        <v>12</v>
      </c>
      <c r="O10" s="9">
        <f t="shared" si="7"/>
        <v>8</v>
      </c>
      <c r="P10" s="9">
        <f t="shared" si="8"/>
        <v>2</v>
      </c>
      <c r="Q10" s="9" t="str">
        <f t="shared" si="9"/>
        <v>Kích hoạt</v>
      </c>
      <c r="R10" s="9">
        <f t="shared" si="10"/>
        <v>2</v>
      </c>
      <c r="S10" s="10">
        <f t="shared" si="11"/>
        <v>0</v>
      </c>
      <c r="T10" s="9">
        <f t="shared" si="12"/>
        <v>3</v>
      </c>
      <c r="U10" s="9">
        <f t="shared" si="13"/>
        <v>13</v>
      </c>
      <c r="V10" s="5">
        <v>15.0</v>
      </c>
      <c r="W10" s="11">
        <v>46114.0</v>
      </c>
      <c r="X10" s="5">
        <v>14.0</v>
      </c>
      <c r="Y10" s="12">
        <f t="shared" si="14"/>
        <v>9000000</v>
      </c>
      <c r="Z10" s="13">
        <v>12.0</v>
      </c>
      <c r="AA10" s="7">
        <f t="shared" si="23"/>
        <v>8.666666667</v>
      </c>
      <c r="AB10" s="7">
        <f t="shared" si="24"/>
        <v>4.333333333</v>
      </c>
      <c r="AC10" s="9" t="str">
        <f t="shared" si="15"/>
        <v>Hợp lệ</v>
      </c>
      <c r="AD10" s="14">
        <f t="shared" si="16"/>
        <v>0</v>
      </c>
      <c r="AE10" s="14">
        <f t="shared" si="17"/>
        <v>19500000</v>
      </c>
      <c r="AF10" s="14">
        <f t="shared" si="18"/>
        <v>19500000</v>
      </c>
      <c r="AG10" s="9">
        <f t="shared" si="19"/>
        <v>1</v>
      </c>
      <c r="AH10" s="14">
        <f t="shared" si="20"/>
        <v>0</v>
      </c>
      <c r="AI10" s="14">
        <f t="shared" si="21"/>
        <v>0</v>
      </c>
      <c r="AJ10" s="14">
        <f t="shared" si="22"/>
        <v>0</v>
      </c>
    </row>
    <row r="11">
      <c r="A11" s="4" t="s">
        <v>45</v>
      </c>
      <c r="B11" s="5">
        <v>30.0</v>
      </c>
      <c r="C11" s="5">
        <v>15.0</v>
      </c>
      <c r="D11" s="6">
        <v>0.28</v>
      </c>
      <c r="E11" s="5">
        <v>22.0</v>
      </c>
      <c r="F11" s="5">
        <v>0.0</v>
      </c>
      <c r="G11" s="5">
        <v>70.0</v>
      </c>
      <c r="H11" s="7">
        <f t="shared" si="1"/>
        <v>56</v>
      </c>
      <c r="I11" s="8" t="s">
        <v>37</v>
      </c>
      <c r="J11" s="9">
        <f t="shared" si="2"/>
        <v>12</v>
      </c>
      <c r="K11" s="7">
        <f t="shared" si="3"/>
        <v>42.1</v>
      </c>
      <c r="L11" s="7">
        <f t="shared" si="4"/>
        <v>72</v>
      </c>
      <c r="M11" s="7">
        <f t="shared" si="5"/>
        <v>69.9</v>
      </c>
      <c r="N11" s="9">
        <f t="shared" si="6"/>
        <v>12</v>
      </c>
      <c r="O11" s="9">
        <f t="shared" si="7"/>
        <v>8</v>
      </c>
      <c r="P11" s="9">
        <f t="shared" si="8"/>
        <v>2</v>
      </c>
      <c r="Q11" s="9" t="str">
        <f t="shared" si="9"/>
        <v>Kích hoạt</v>
      </c>
      <c r="R11" s="9">
        <f t="shared" si="10"/>
        <v>2</v>
      </c>
      <c r="S11" s="10">
        <f t="shared" si="11"/>
        <v>0</v>
      </c>
      <c r="T11" s="9">
        <f t="shared" si="12"/>
        <v>2</v>
      </c>
      <c r="U11" s="9">
        <f t="shared" si="13"/>
        <v>12</v>
      </c>
      <c r="V11" s="5">
        <v>16.0</v>
      </c>
      <c r="W11" s="4" t="s">
        <v>46</v>
      </c>
      <c r="X11" s="5">
        <v>12.0</v>
      </c>
      <c r="Y11" s="12">
        <f t="shared" si="14"/>
        <v>9000000</v>
      </c>
      <c r="Z11" s="13">
        <v>15.0</v>
      </c>
      <c r="AA11" s="7">
        <f t="shared" si="23"/>
        <v>10.66666667</v>
      </c>
      <c r="AB11" s="7">
        <f t="shared" si="24"/>
        <v>1.333333333</v>
      </c>
      <c r="AC11" s="9" t="str">
        <f t="shared" si="15"/>
        <v>Loại</v>
      </c>
      <c r="AD11" s="14">
        <f t="shared" si="16"/>
        <v>0</v>
      </c>
      <c r="AE11" s="14">
        <f t="shared" si="17"/>
        <v>6000000</v>
      </c>
      <c r="AF11" s="14">
        <f t="shared" si="18"/>
        <v>6000000</v>
      </c>
      <c r="AG11" s="9">
        <f t="shared" si="19"/>
        <v>0</v>
      </c>
      <c r="AH11" s="14">
        <f t="shared" si="20"/>
        <v>0</v>
      </c>
      <c r="AI11" s="14">
        <f t="shared" si="21"/>
        <v>0</v>
      </c>
      <c r="AJ11" s="14">
        <f t="shared" si="22"/>
        <v>0</v>
      </c>
    </row>
    <row r="12">
      <c r="A12" s="4" t="s">
        <v>47</v>
      </c>
      <c r="B12" s="5">
        <v>32.0</v>
      </c>
      <c r="C12" s="5">
        <v>0.0</v>
      </c>
      <c r="D12" s="6">
        <v>0.35</v>
      </c>
      <c r="E12" s="5">
        <v>38.0</v>
      </c>
      <c r="F12" s="5">
        <v>0.0</v>
      </c>
      <c r="G12" s="5">
        <v>72.0</v>
      </c>
      <c r="H12" s="7">
        <f t="shared" si="1"/>
        <v>57.6</v>
      </c>
      <c r="I12" s="8" t="s">
        <v>37</v>
      </c>
      <c r="J12" s="9">
        <f t="shared" si="2"/>
        <v>12</v>
      </c>
      <c r="K12" s="7">
        <f t="shared" si="3"/>
        <v>50.3</v>
      </c>
      <c r="L12" s="7">
        <f t="shared" si="4"/>
        <v>70.4</v>
      </c>
      <c r="M12" s="7">
        <f t="shared" si="5"/>
        <v>68.2</v>
      </c>
      <c r="N12" s="9">
        <f t="shared" si="6"/>
        <v>12</v>
      </c>
      <c r="O12" s="9">
        <f t="shared" si="7"/>
        <v>8</v>
      </c>
      <c r="P12" s="9">
        <f t="shared" si="8"/>
        <v>2</v>
      </c>
      <c r="Q12" s="9" t="str">
        <f t="shared" si="9"/>
        <v>Kích hoạt</v>
      </c>
      <c r="R12" s="9">
        <f t="shared" si="10"/>
        <v>2</v>
      </c>
      <c r="S12" s="10">
        <f t="shared" si="11"/>
        <v>0</v>
      </c>
      <c r="T12" s="9">
        <f t="shared" si="12"/>
        <v>2</v>
      </c>
      <c r="U12" s="9">
        <f t="shared" si="13"/>
        <v>12</v>
      </c>
      <c r="V12" s="5">
        <v>14.0</v>
      </c>
      <c r="W12" s="11">
        <v>46114.0</v>
      </c>
      <c r="X12" s="5">
        <v>16.0</v>
      </c>
      <c r="Y12" s="12">
        <f t="shared" si="14"/>
        <v>9000000</v>
      </c>
      <c r="Z12" s="13">
        <v>13.0</v>
      </c>
      <c r="AA12" s="7">
        <f t="shared" si="23"/>
        <v>12</v>
      </c>
      <c r="AB12" s="7">
        <f t="shared" si="24"/>
        <v>0</v>
      </c>
      <c r="AC12" s="9" t="str">
        <f t="shared" si="15"/>
        <v>Hợp lệ</v>
      </c>
      <c r="AD12" s="14">
        <f t="shared" si="16"/>
        <v>0</v>
      </c>
      <c r="AE12" s="14">
        <f t="shared" si="17"/>
        <v>0</v>
      </c>
      <c r="AF12" s="14">
        <f t="shared" si="18"/>
        <v>0</v>
      </c>
      <c r="AG12" s="9">
        <f t="shared" si="19"/>
        <v>0</v>
      </c>
      <c r="AH12" s="14">
        <f t="shared" si="20"/>
        <v>0</v>
      </c>
      <c r="AI12" s="14">
        <f t="shared" si="21"/>
        <v>0</v>
      </c>
      <c r="AJ12" s="14">
        <f t="shared" si="22"/>
        <v>0</v>
      </c>
    </row>
    <row r="13">
      <c r="A13" s="4" t="s">
        <v>48</v>
      </c>
      <c r="B13" s="5">
        <v>34.0</v>
      </c>
      <c r="C13" s="5">
        <v>0.0</v>
      </c>
      <c r="D13" s="6">
        <v>0.45</v>
      </c>
      <c r="E13" s="5">
        <v>52.0</v>
      </c>
      <c r="F13" s="5">
        <v>0.0</v>
      </c>
      <c r="G13" s="5">
        <v>20.0</v>
      </c>
      <c r="H13" s="7">
        <f t="shared" si="1"/>
        <v>16</v>
      </c>
      <c r="I13" s="8" t="s">
        <v>37</v>
      </c>
      <c r="J13" s="9">
        <f t="shared" si="2"/>
        <v>4</v>
      </c>
      <c r="K13" s="7">
        <f t="shared" si="3"/>
        <v>57.5</v>
      </c>
      <c r="L13" s="7">
        <f t="shared" si="4"/>
        <v>65.8</v>
      </c>
      <c r="M13" s="7">
        <f t="shared" si="5"/>
        <v>64.3</v>
      </c>
      <c r="N13" s="9">
        <f t="shared" si="6"/>
        <v>11</v>
      </c>
      <c r="O13" s="9">
        <f t="shared" si="7"/>
        <v>8</v>
      </c>
      <c r="P13" s="9">
        <f t="shared" si="8"/>
        <v>2</v>
      </c>
      <c r="Q13" s="9" t="str">
        <f t="shared" si="9"/>
        <v>Kích hoạt</v>
      </c>
      <c r="R13" s="9">
        <f t="shared" si="10"/>
        <v>2</v>
      </c>
      <c r="S13" s="10">
        <f t="shared" si="11"/>
        <v>0</v>
      </c>
      <c r="T13" s="9">
        <f t="shared" si="12"/>
        <v>0</v>
      </c>
      <c r="U13" s="9">
        <f t="shared" si="13"/>
        <v>10</v>
      </c>
      <c r="V13" s="5">
        <v>15.0</v>
      </c>
      <c r="W13" s="11">
        <v>46114.0</v>
      </c>
      <c r="X13" s="5">
        <v>2.0</v>
      </c>
      <c r="Y13" s="12">
        <f t="shared" si="14"/>
        <v>11700000</v>
      </c>
      <c r="Z13" s="13">
        <v>2.0</v>
      </c>
      <c r="AA13" s="7">
        <f t="shared" si="23"/>
        <v>12.33333333</v>
      </c>
      <c r="AB13" s="7">
        <f t="shared" si="24"/>
        <v>8.333333333</v>
      </c>
      <c r="AC13" s="9" t="str">
        <f t="shared" si="15"/>
        <v>Hợp lệ</v>
      </c>
      <c r="AD13" s="14">
        <f t="shared" si="16"/>
        <v>12500000</v>
      </c>
      <c r="AE13" s="14">
        <f t="shared" si="17"/>
        <v>0</v>
      </c>
      <c r="AF13" s="14">
        <f t="shared" si="18"/>
        <v>12500000</v>
      </c>
      <c r="AG13" s="9">
        <f t="shared" si="19"/>
        <v>7</v>
      </c>
      <c r="AH13" s="14">
        <f t="shared" si="20"/>
        <v>9000000</v>
      </c>
      <c r="AI13" s="14">
        <f t="shared" si="21"/>
        <v>0</v>
      </c>
      <c r="AJ13" s="14">
        <f t="shared" si="22"/>
        <v>9000000</v>
      </c>
    </row>
    <row r="14">
      <c r="A14" s="4" t="s">
        <v>49</v>
      </c>
      <c r="B14" s="5">
        <v>31.0</v>
      </c>
      <c r="C14" s="5">
        <v>0.0</v>
      </c>
      <c r="D14" s="6">
        <v>0.52</v>
      </c>
      <c r="E14" s="5">
        <v>45.0</v>
      </c>
      <c r="F14" s="5">
        <v>1.0</v>
      </c>
      <c r="G14" s="5">
        <v>110.0</v>
      </c>
      <c r="H14" s="7">
        <f t="shared" si="1"/>
        <v>93.5</v>
      </c>
      <c r="I14" s="8" t="s">
        <v>37</v>
      </c>
      <c r="J14" s="9">
        <f t="shared" si="2"/>
        <v>20</v>
      </c>
      <c r="K14" s="7">
        <f t="shared" si="3"/>
        <v>53.9</v>
      </c>
      <c r="L14" s="7">
        <f t="shared" si="4"/>
        <v>77.5</v>
      </c>
      <c r="M14" s="7">
        <f t="shared" si="5"/>
        <v>82.9</v>
      </c>
      <c r="N14" s="9">
        <f t="shared" si="6"/>
        <v>14</v>
      </c>
      <c r="O14" s="9">
        <f t="shared" si="7"/>
        <v>10</v>
      </c>
      <c r="P14" s="9">
        <f t="shared" si="8"/>
        <v>3</v>
      </c>
      <c r="Q14" s="9" t="str">
        <f t="shared" si="9"/>
        <v>Kích hoạt</v>
      </c>
      <c r="R14" s="9">
        <f t="shared" si="10"/>
        <v>3</v>
      </c>
      <c r="S14" s="10">
        <f t="shared" si="11"/>
        <v>0</v>
      </c>
      <c r="T14" s="9">
        <f t="shared" si="12"/>
        <v>7</v>
      </c>
      <c r="U14" s="9">
        <f t="shared" si="13"/>
        <v>20</v>
      </c>
      <c r="V14" s="5">
        <v>10.0</v>
      </c>
      <c r="W14" s="11">
        <v>46114.0</v>
      </c>
      <c r="X14" s="5">
        <v>24.0</v>
      </c>
      <c r="Y14" s="12">
        <f t="shared" si="14"/>
        <v>11700000</v>
      </c>
      <c r="Z14" s="13">
        <v>20.0</v>
      </c>
      <c r="AA14" s="7">
        <f t="shared" si="23"/>
        <v>9.333333333</v>
      </c>
      <c r="AB14" s="7">
        <f t="shared" si="24"/>
        <v>10.66666667</v>
      </c>
      <c r="AC14" s="9" t="str">
        <f t="shared" si="15"/>
        <v>Hợp lệ</v>
      </c>
      <c r="AD14" s="14">
        <f t="shared" si="16"/>
        <v>0</v>
      </c>
      <c r="AE14" s="14">
        <f t="shared" si="17"/>
        <v>48000000</v>
      </c>
      <c r="AF14" s="14">
        <f t="shared" si="18"/>
        <v>48000000</v>
      </c>
      <c r="AG14" s="9">
        <f t="shared" si="19"/>
        <v>6</v>
      </c>
      <c r="AH14" s="14">
        <f t="shared" si="20"/>
        <v>0</v>
      </c>
      <c r="AI14" s="14">
        <f t="shared" si="21"/>
        <v>0</v>
      </c>
      <c r="AJ14" s="14">
        <f t="shared" si="22"/>
        <v>0</v>
      </c>
    </row>
    <row r="15">
      <c r="A15" s="4" t="s">
        <v>50</v>
      </c>
      <c r="B15" s="5">
        <v>36.0</v>
      </c>
      <c r="C15" s="5">
        <v>0.0</v>
      </c>
      <c r="D15" s="6">
        <v>0.68</v>
      </c>
      <c r="E15" s="5">
        <v>78.0</v>
      </c>
      <c r="F15" s="5">
        <v>1.0</v>
      </c>
      <c r="G15" s="5">
        <v>95.0</v>
      </c>
      <c r="H15" s="7">
        <f t="shared" si="1"/>
        <v>80.75</v>
      </c>
      <c r="I15" s="8" t="s">
        <v>37</v>
      </c>
      <c r="J15" s="9">
        <f t="shared" si="2"/>
        <v>17</v>
      </c>
      <c r="K15" s="7">
        <f t="shared" si="3"/>
        <v>70.9</v>
      </c>
      <c r="L15" s="7">
        <f t="shared" si="4"/>
        <v>67.8</v>
      </c>
      <c r="M15" s="7">
        <f t="shared" si="5"/>
        <v>75.3</v>
      </c>
      <c r="N15" s="9">
        <f t="shared" si="6"/>
        <v>13</v>
      </c>
      <c r="O15" s="9">
        <f t="shared" si="7"/>
        <v>9</v>
      </c>
      <c r="P15" s="9">
        <f t="shared" si="8"/>
        <v>3</v>
      </c>
      <c r="Q15" s="9" t="str">
        <f t="shared" si="9"/>
        <v>Kích hoạt</v>
      </c>
      <c r="R15" s="9">
        <f t="shared" si="10"/>
        <v>3</v>
      </c>
      <c r="S15" s="10">
        <f t="shared" si="11"/>
        <v>0</v>
      </c>
      <c r="T15" s="9">
        <f t="shared" si="12"/>
        <v>5</v>
      </c>
      <c r="U15" s="9">
        <f t="shared" si="13"/>
        <v>17</v>
      </c>
      <c r="V15" s="5">
        <v>9.0</v>
      </c>
      <c r="W15" s="11">
        <v>46114.0</v>
      </c>
      <c r="X15" s="5">
        <v>22.0</v>
      </c>
      <c r="Y15" s="12">
        <f t="shared" si="14"/>
        <v>11700000</v>
      </c>
      <c r="Z15" s="13">
        <v>18.0</v>
      </c>
      <c r="AA15" s="7">
        <f t="shared" si="23"/>
        <v>12</v>
      </c>
      <c r="AB15" s="7">
        <f t="shared" si="24"/>
        <v>5</v>
      </c>
      <c r="AC15" s="9" t="str">
        <f t="shared" si="15"/>
        <v>Hợp lệ</v>
      </c>
      <c r="AD15" s="14">
        <f t="shared" si="16"/>
        <v>0</v>
      </c>
      <c r="AE15" s="14">
        <f t="shared" si="17"/>
        <v>22500000</v>
      </c>
      <c r="AF15" s="14">
        <f t="shared" si="18"/>
        <v>22500000</v>
      </c>
      <c r="AG15" s="9">
        <f t="shared" si="19"/>
        <v>4</v>
      </c>
      <c r="AH15" s="14">
        <f t="shared" si="20"/>
        <v>0</v>
      </c>
      <c r="AI15" s="14">
        <f t="shared" si="21"/>
        <v>0</v>
      </c>
      <c r="AJ15" s="14">
        <f t="shared" si="22"/>
        <v>0</v>
      </c>
    </row>
    <row r="16">
      <c r="A16" s="4" t="s">
        <v>51</v>
      </c>
      <c r="B16" s="5">
        <v>35.0</v>
      </c>
      <c r="C16" s="5">
        <v>0.0</v>
      </c>
      <c r="D16" s="6">
        <v>0.78</v>
      </c>
      <c r="E16" s="5">
        <v>85.0</v>
      </c>
      <c r="F16" s="5">
        <v>0.0</v>
      </c>
      <c r="G16" s="5">
        <v>85.0</v>
      </c>
      <c r="H16" s="7">
        <f t="shared" si="1"/>
        <v>68</v>
      </c>
      <c r="I16" s="8" t="s">
        <v>37</v>
      </c>
      <c r="J16" s="9">
        <f t="shared" si="2"/>
        <v>15</v>
      </c>
      <c r="K16" s="7">
        <f t="shared" si="3"/>
        <v>74.5</v>
      </c>
      <c r="L16" s="7">
        <f t="shared" si="4"/>
        <v>77.9</v>
      </c>
      <c r="M16" s="7">
        <f t="shared" si="5"/>
        <v>75.7</v>
      </c>
      <c r="N16" s="9">
        <f t="shared" si="6"/>
        <v>13</v>
      </c>
      <c r="O16" s="9">
        <f t="shared" si="7"/>
        <v>9</v>
      </c>
      <c r="P16" s="9">
        <f t="shared" si="8"/>
        <v>3</v>
      </c>
      <c r="Q16" s="9" t="str">
        <f t="shared" si="9"/>
        <v>Kích hoạt</v>
      </c>
      <c r="R16" s="9">
        <f t="shared" si="10"/>
        <v>3</v>
      </c>
      <c r="S16" s="10">
        <f t="shared" si="11"/>
        <v>0</v>
      </c>
      <c r="T16" s="9">
        <f t="shared" si="12"/>
        <v>3</v>
      </c>
      <c r="U16" s="9">
        <f t="shared" si="13"/>
        <v>15</v>
      </c>
      <c r="V16" s="5">
        <v>14.0</v>
      </c>
      <c r="W16" s="11">
        <v>46114.0</v>
      </c>
      <c r="X16" s="5">
        <v>18.0</v>
      </c>
      <c r="Y16" s="12">
        <f t="shared" si="14"/>
        <v>11700000</v>
      </c>
      <c r="Z16" s="13">
        <v>15.0</v>
      </c>
      <c r="AA16" s="7">
        <f t="shared" si="23"/>
        <v>13.66666667</v>
      </c>
      <c r="AB16" s="7">
        <f t="shared" si="24"/>
        <v>1.333333333</v>
      </c>
      <c r="AC16" s="9" t="str">
        <f t="shared" si="15"/>
        <v>Hợp lệ</v>
      </c>
      <c r="AD16" s="14">
        <f t="shared" si="16"/>
        <v>0</v>
      </c>
      <c r="AE16" s="14">
        <f t="shared" si="17"/>
        <v>6000000</v>
      </c>
      <c r="AF16" s="14">
        <f t="shared" si="18"/>
        <v>6000000</v>
      </c>
      <c r="AG16" s="9">
        <f t="shared" si="19"/>
        <v>2</v>
      </c>
      <c r="AH16" s="14">
        <f t="shared" si="20"/>
        <v>0</v>
      </c>
      <c r="AI16" s="14">
        <f t="shared" si="21"/>
        <v>0</v>
      </c>
      <c r="AJ16" s="14">
        <f t="shared" si="22"/>
        <v>0</v>
      </c>
    </row>
    <row r="17">
      <c r="A17" s="4" t="s">
        <v>52</v>
      </c>
      <c r="B17" s="5">
        <v>31.0</v>
      </c>
      <c r="C17" s="5">
        <v>5.0</v>
      </c>
      <c r="D17" s="6">
        <v>0.82</v>
      </c>
      <c r="E17" s="5">
        <v>65.0</v>
      </c>
      <c r="F17" s="5">
        <v>0.0</v>
      </c>
      <c r="G17" s="5">
        <v>70.0</v>
      </c>
      <c r="H17" s="7">
        <f t="shared" si="1"/>
        <v>56</v>
      </c>
      <c r="I17" s="8" t="s">
        <v>37</v>
      </c>
      <c r="J17" s="9">
        <f t="shared" si="2"/>
        <v>12</v>
      </c>
      <c r="K17" s="7">
        <f t="shared" si="3"/>
        <v>64.2</v>
      </c>
      <c r="L17" s="7">
        <f t="shared" si="4"/>
        <v>85</v>
      </c>
      <c r="M17" s="7">
        <f t="shared" si="5"/>
        <v>80.9</v>
      </c>
      <c r="N17" s="9">
        <f t="shared" si="6"/>
        <v>15</v>
      </c>
      <c r="O17" s="9">
        <f t="shared" si="7"/>
        <v>11</v>
      </c>
      <c r="P17" s="9">
        <f t="shared" si="8"/>
        <v>3</v>
      </c>
      <c r="Q17" s="9" t="str">
        <f t="shared" si="9"/>
        <v>Kích hoạt</v>
      </c>
      <c r="R17" s="9">
        <f t="shared" si="10"/>
        <v>3</v>
      </c>
      <c r="S17" s="10">
        <f t="shared" si="11"/>
        <v>0</v>
      </c>
      <c r="T17" s="9">
        <f t="shared" si="12"/>
        <v>0</v>
      </c>
      <c r="U17" s="9">
        <f t="shared" si="13"/>
        <v>14</v>
      </c>
      <c r="V17" s="5">
        <v>15.0</v>
      </c>
      <c r="W17" s="11">
        <v>46114.0</v>
      </c>
      <c r="X17" s="5">
        <v>14.0</v>
      </c>
      <c r="Y17" s="12">
        <f t="shared" si="14"/>
        <v>9000000</v>
      </c>
      <c r="Z17" s="13">
        <v>12.0</v>
      </c>
      <c r="AA17" s="7">
        <f t="shared" si="23"/>
        <v>17.33333333</v>
      </c>
      <c r="AB17" s="7">
        <f t="shared" si="24"/>
        <v>5.333333333</v>
      </c>
      <c r="AC17" s="9" t="str">
        <f t="shared" si="15"/>
        <v>Hợp lệ</v>
      </c>
      <c r="AD17" s="14">
        <f t="shared" si="16"/>
        <v>8000000</v>
      </c>
      <c r="AE17" s="14">
        <f t="shared" si="17"/>
        <v>0</v>
      </c>
      <c r="AF17" s="14">
        <f t="shared" si="18"/>
        <v>8000000</v>
      </c>
      <c r="AG17" s="9">
        <f t="shared" si="19"/>
        <v>3</v>
      </c>
      <c r="AH17" s="14">
        <f t="shared" si="20"/>
        <v>3000000</v>
      </c>
      <c r="AI17" s="14">
        <f t="shared" si="21"/>
        <v>0</v>
      </c>
      <c r="AJ17" s="14">
        <f t="shared" si="22"/>
        <v>3000000</v>
      </c>
    </row>
    <row r="18">
      <c r="A18" s="4" t="s">
        <v>53</v>
      </c>
      <c r="B18" s="5">
        <v>30.0</v>
      </c>
      <c r="C18" s="5">
        <v>65.0</v>
      </c>
      <c r="D18" s="6">
        <v>0.84</v>
      </c>
      <c r="E18" s="5">
        <v>18.0</v>
      </c>
      <c r="F18" s="5">
        <v>0.0</v>
      </c>
      <c r="G18" s="5">
        <v>65.0</v>
      </c>
      <c r="H18" s="7">
        <f t="shared" si="1"/>
        <v>52</v>
      </c>
      <c r="I18" s="8" t="s">
        <v>37</v>
      </c>
      <c r="J18" s="9">
        <f t="shared" si="2"/>
        <v>11</v>
      </c>
      <c r="K18" s="7">
        <f t="shared" si="3"/>
        <v>40.1</v>
      </c>
      <c r="L18" s="7">
        <f t="shared" si="4"/>
        <v>44.6</v>
      </c>
      <c r="M18" s="7">
        <f t="shared" si="5"/>
        <v>44.6</v>
      </c>
      <c r="N18" s="9">
        <f t="shared" si="6"/>
        <v>8</v>
      </c>
      <c r="O18" s="9">
        <f t="shared" si="7"/>
        <v>6</v>
      </c>
      <c r="P18" s="9">
        <f t="shared" si="8"/>
        <v>2</v>
      </c>
      <c r="Q18" s="9" t="str">
        <f t="shared" si="9"/>
        <v>Hủy slot (Mưa &gt; 20mm)</v>
      </c>
      <c r="R18" s="9">
        <f t="shared" si="10"/>
        <v>0</v>
      </c>
      <c r="S18" s="10">
        <f t="shared" si="11"/>
        <v>300000</v>
      </c>
      <c r="T18" s="9">
        <f t="shared" si="12"/>
        <v>5</v>
      </c>
      <c r="U18" s="9">
        <f t="shared" si="13"/>
        <v>11</v>
      </c>
      <c r="V18" s="5">
        <v>16.0</v>
      </c>
      <c r="W18" s="4" t="s">
        <v>54</v>
      </c>
      <c r="X18" s="5">
        <v>12.0</v>
      </c>
      <c r="Y18" s="12">
        <f t="shared" si="14"/>
        <v>9000000</v>
      </c>
      <c r="Z18" s="13">
        <v>14.0</v>
      </c>
      <c r="AA18" s="7">
        <f t="shared" si="23"/>
        <v>14.66666667</v>
      </c>
      <c r="AB18" s="7">
        <f t="shared" si="24"/>
        <v>3.666666667</v>
      </c>
      <c r="AC18" s="9" t="str">
        <f t="shared" si="15"/>
        <v>Loại</v>
      </c>
      <c r="AD18" s="14">
        <f t="shared" si="16"/>
        <v>5500000</v>
      </c>
      <c r="AE18" s="14">
        <f t="shared" si="17"/>
        <v>0</v>
      </c>
      <c r="AF18" s="14">
        <f t="shared" si="18"/>
        <v>5500000</v>
      </c>
      <c r="AG18" s="9">
        <f t="shared" si="19"/>
        <v>3</v>
      </c>
      <c r="AH18" s="14">
        <f t="shared" si="20"/>
        <v>0</v>
      </c>
      <c r="AI18" s="14">
        <f t="shared" si="21"/>
        <v>0</v>
      </c>
      <c r="AJ18" s="14">
        <f t="shared" si="22"/>
        <v>300000</v>
      </c>
    </row>
    <row r="19">
      <c r="A19" s="4" t="s">
        <v>55</v>
      </c>
      <c r="B19" s="5">
        <v>30.0</v>
      </c>
      <c r="C19" s="5">
        <v>20.0</v>
      </c>
      <c r="D19" s="6">
        <v>0.86</v>
      </c>
      <c r="E19" s="5">
        <v>25.0</v>
      </c>
      <c r="F19" s="5">
        <v>0.0</v>
      </c>
      <c r="G19" s="5">
        <v>80.0</v>
      </c>
      <c r="H19" s="7">
        <f t="shared" si="1"/>
        <v>64</v>
      </c>
      <c r="I19" s="8" t="s">
        <v>37</v>
      </c>
      <c r="J19" s="9">
        <f t="shared" si="2"/>
        <v>14</v>
      </c>
      <c r="K19" s="7">
        <f t="shared" si="3"/>
        <v>43.7</v>
      </c>
      <c r="L19" s="7">
        <f t="shared" si="4"/>
        <v>50.2</v>
      </c>
      <c r="M19" s="7">
        <f t="shared" si="5"/>
        <v>47.1</v>
      </c>
      <c r="N19" s="9">
        <f t="shared" si="6"/>
        <v>9</v>
      </c>
      <c r="O19" s="9">
        <f t="shared" si="7"/>
        <v>6</v>
      </c>
      <c r="P19" s="9">
        <f t="shared" si="8"/>
        <v>2</v>
      </c>
      <c r="Q19" s="9" t="str">
        <f t="shared" si="9"/>
        <v>Kích hoạt</v>
      </c>
      <c r="R19" s="9">
        <f t="shared" si="10"/>
        <v>2</v>
      </c>
      <c r="S19" s="10">
        <f t="shared" si="11"/>
        <v>0</v>
      </c>
      <c r="T19" s="9">
        <f t="shared" si="12"/>
        <v>6</v>
      </c>
      <c r="U19" s="9">
        <f t="shared" si="13"/>
        <v>14</v>
      </c>
      <c r="V19" s="5">
        <v>15.0</v>
      </c>
      <c r="W19" s="11">
        <v>46114.0</v>
      </c>
      <c r="X19" s="5">
        <v>16.0</v>
      </c>
      <c r="Y19" s="12">
        <f t="shared" si="14"/>
        <v>9000000</v>
      </c>
      <c r="Z19" s="13">
        <v>15.0</v>
      </c>
      <c r="AA19" s="7">
        <f t="shared" si="23"/>
        <v>12.66666667</v>
      </c>
      <c r="AB19" s="7">
        <f t="shared" si="24"/>
        <v>1.333333333</v>
      </c>
      <c r="AC19" s="9" t="str">
        <f t="shared" si="15"/>
        <v>Hợp lệ</v>
      </c>
      <c r="AD19" s="14">
        <f t="shared" si="16"/>
        <v>0</v>
      </c>
      <c r="AE19" s="14">
        <f t="shared" si="17"/>
        <v>6000000</v>
      </c>
      <c r="AF19" s="14">
        <f t="shared" si="18"/>
        <v>6000000</v>
      </c>
      <c r="AG19" s="9">
        <f t="shared" si="19"/>
        <v>5</v>
      </c>
      <c r="AH19" s="14">
        <f t="shared" si="20"/>
        <v>0</v>
      </c>
      <c r="AI19" s="14">
        <f t="shared" si="21"/>
        <v>0</v>
      </c>
      <c r="AJ19" s="14">
        <f t="shared" si="22"/>
        <v>0</v>
      </c>
    </row>
    <row r="20">
      <c r="A20" s="4" t="s">
        <v>56</v>
      </c>
      <c r="B20" s="5">
        <v>32.0</v>
      </c>
      <c r="C20" s="5">
        <v>0.0</v>
      </c>
      <c r="D20" s="6">
        <v>0.89</v>
      </c>
      <c r="E20" s="5">
        <v>55.0</v>
      </c>
      <c r="F20" s="5">
        <v>0.0</v>
      </c>
      <c r="G20" s="5">
        <v>75.0</v>
      </c>
      <c r="H20" s="7">
        <f t="shared" si="1"/>
        <v>60</v>
      </c>
      <c r="I20" s="8" t="s">
        <v>37</v>
      </c>
      <c r="J20" s="9">
        <f t="shared" si="2"/>
        <v>13</v>
      </c>
      <c r="K20" s="7">
        <f t="shared" si="3"/>
        <v>59.1</v>
      </c>
      <c r="L20" s="7">
        <f t="shared" si="4"/>
        <v>64.5</v>
      </c>
      <c r="M20" s="7">
        <f t="shared" si="5"/>
        <v>60.8</v>
      </c>
      <c r="N20" s="9">
        <f t="shared" si="6"/>
        <v>11</v>
      </c>
      <c r="O20" s="9">
        <f t="shared" si="7"/>
        <v>8</v>
      </c>
      <c r="P20" s="9">
        <f t="shared" si="8"/>
        <v>2</v>
      </c>
      <c r="Q20" s="9" t="str">
        <f t="shared" si="9"/>
        <v>Kích hoạt</v>
      </c>
      <c r="R20" s="9">
        <f t="shared" si="10"/>
        <v>2</v>
      </c>
      <c r="S20" s="10">
        <f t="shared" si="11"/>
        <v>0</v>
      </c>
      <c r="T20" s="9">
        <f t="shared" si="12"/>
        <v>3</v>
      </c>
      <c r="U20" s="9">
        <f t="shared" si="13"/>
        <v>13</v>
      </c>
      <c r="V20" s="5">
        <v>15.0</v>
      </c>
      <c r="W20" s="11">
        <v>46114.0</v>
      </c>
      <c r="X20" s="5">
        <v>14.0</v>
      </c>
      <c r="Y20" s="12">
        <f t="shared" si="14"/>
        <v>9000000</v>
      </c>
      <c r="Z20" s="13">
        <v>12.0</v>
      </c>
      <c r="AA20" s="7">
        <f t="shared" si="23"/>
        <v>12.33333333</v>
      </c>
      <c r="AB20" s="7">
        <f t="shared" si="24"/>
        <v>0.6666666667</v>
      </c>
      <c r="AC20" s="9" t="str">
        <f t="shared" si="15"/>
        <v>Hợp lệ</v>
      </c>
      <c r="AD20" s="14">
        <f t="shared" si="16"/>
        <v>0</v>
      </c>
      <c r="AE20" s="14">
        <f t="shared" si="17"/>
        <v>3000000</v>
      </c>
      <c r="AF20" s="14">
        <f t="shared" si="18"/>
        <v>3000000</v>
      </c>
      <c r="AG20" s="9">
        <f t="shared" si="19"/>
        <v>2</v>
      </c>
      <c r="AH20" s="14">
        <f t="shared" si="20"/>
        <v>0</v>
      </c>
      <c r="AI20" s="14">
        <f t="shared" si="21"/>
        <v>0</v>
      </c>
      <c r="AJ20" s="14">
        <f t="shared" si="22"/>
        <v>0</v>
      </c>
    </row>
    <row r="21">
      <c r="A21" s="4" t="s">
        <v>57</v>
      </c>
      <c r="B21" s="5">
        <v>31.0</v>
      </c>
      <c r="C21" s="5">
        <v>0.0</v>
      </c>
      <c r="D21" s="6">
        <v>0.91</v>
      </c>
      <c r="E21" s="5">
        <v>68.0</v>
      </c>
      <c r="F21" s="5">
        <v>1.0</v>
      </c>
      <c r="G21" s="5">
        <v>85.0</v>
      </c>
      <c r="H21" s="7">
        <f t="shared" si="1"/>
        <v>72.25</v>
      </c>
      <c r="I21" s="8" t="s">
        <v>37</v>
      </c>
      <c r="J21" s="9">
        <f t="shared" si="2"/>
        <v>16</v>
      </c>
      <c r="K21" s="7">
        <f t="shared" si="3"/>
        <v>65.8</v>
      </c>
      <c r="L21" s="7">
        <f t="shared" si="4"/>
        <v>84.1</v>
      </c>
      <c r="M21" s="7">
        <f t="shared" si="5"/>
        <v>88.2</v>
      </c>
      <c r="N21" s="9">
        <f t="shared" si="6"/>
        <v>15</v>
      </c>
      <c r="O21" s="9">
        <f t="shared" si="7"/>
        <v>11</v>
      </c>
      <c r="P21" s="9">
        <f t="shared" si="8"/>
        <v>3</v>
      </c>
      <c r="Q21" s="9" t="str">
        <f t="shared" si="9"/>
        <v>Kích hoạt</v>
      </c>
      <c r="R21" s="9">
        <f t="shared" si="10"/>
        <v>3</v>
      </c>
      <c r="S21" s="10">
        <f t="shared" si="11"/>
        <v>0</v>
      </c>
      <c r="T21" s="9">
        <f t="shared" si="12"/>
        <v>2</v>
      </c>
      <c r="U21" s="9">
        <f t="shared" si="13"/>
        <v>16</v>
      </c>
      <c r="V21" s="5">
        <v>10.0</v>
      </c>
      <c r="W21" s="11">
        <v>46114.0</v>
      </c>
      <c r="X21" s="5">
        <v>20.0</v>
      </c>
      <c r="Y21" s="12">
        <f t="shared" si="14"/>
        <v>11700000</v>
      </c>
      <c r="Z21" s="13">
        <v>16.0</v>
      </c>
      <c r="AA21" s="7">
        <f t="shared" si="23"/>
        <v>12.66666667</v>
      </c>
      <c r="AB21" s="7">
        <f t="shared" si="24"/>
        <v>3.333333333</v>
      </c>
      <c r="AC21" s="9" t="str">
        <f t="shared" si="15"/>
        <v>Hợp lệ</v>
      </c>
      <c r="AD21" s="14">
        <f t="shared" si="16"/>
        <v>0</v>
      </c>
      <c r="AE21" s="14">
        <f t="shared" si="17"/>
        <v>15000000</v>
      </c>
      <c r="AF21" s="14">
        <f t="shared" si="18"/>
        <v>15000000</v>
      </c>
      <c r="AG21" s="9">
        <f t="shared" si="19"/>
        <v>1</v>
      </c>
      <c r="AH21" s="14">
        <f t="shared" si="20"/>
        <v>0</v>
      </c>
      <c r="AI21" s="14">
        <f t="shared" si="21"/>
        <v>0</v>
      </c>
      <c r="AJ21" s="14">
        <f t="shared" si="22"/>
        <v>0</v>
      </c>
    </row>
    <row r="22">
      <c r="A22" s="4" t="s">
        <v>58</v>
      </c>
      <c r="B22" s="5">
        <v>33.0</v>
      </c>
      <c r="C22" s="5">
        <v>0.0</v>
      </c>
      <c r="D22" s="6">
        <v>0.93</v>
      </c>
      <c r="E22" s="5">
        <v>75.0</v>
      </c>
      <c r="F22" s="5">
        <v>1.0</v>
      </c>
      <c r="G22" s="5">
        <v>60.0</v>
      </c>
      <c r="H22" s="7">
        <f t="shared" si="1"/>
        <v>51</v>
      </c>
      <c r="I22" s="8" t="s">
        <v>37</v>
      </c>
      <c r="J22" s="9">
        <f t="shared" si="2"/>
        <v>11</v>
      </c>
      <c r="K22" s="7">
        <f t="shared" si="3"/>
        <v>69.4</v>
      </c>
      <c r="L22" s="7">
        <f t="shared" si="4"/>
        <v>75.8</v>
      </c>
      <c r="M22" s="7">
        <f t="shared" si="5"/>
        <v>80.9</v>
      </c>
      <c r="N22" s="9">
        <f t="shared" si="6"/>
        <v>14</v>
      </c>
      <c r="O22" s="9">
        <f t="shared" si="7"/>
        <v>10</v>
      </c>
      <c r="P22" s="9">
        <f t="shared" si="8"/>
        <v>3</v>
      </c>
      <c r="Q22" s="9" t="str">
        <f t="shared" si="9"/>
        <v>Kích hoạt</v>
      </c>
      <c r="R22" s="9">
        <f t="shared" si="10"/>
        <v>3</v>
      </c>
      <c r="S22" s="10">
        <f t="shared" si="11"/>
        <v>0</v>
      </c>
      <c r="T22" s="9">
        <f t="shared" si="12"/>
        <v>0</v>
      </c>
      <c r="U22" s="9">
        <f t="shared" si="13"/>
        <v>13</v>
      </c>
      <c r="V22" s="5">
        <v>11.0</v>
      </c>
      <c r="W22" s="11">
        <v>46114.0</v>
      </c>
      <c r="X22" s="5">
        <v>8.0</v>
      </c>
      <c r="Y22" s="12">
        <f t="shared" si="14"/>
        <v>11700000</v>
      </c>
      <c r="Z22" s="13">
        <v>8.0</v>
      </c>
      <c r="AA22" s="7">
        <f t="shared" si="23"/>
        <v>14.33333333</v>
      </c>
      <c r="AB22" s="7">
        <f t="shared" si="24"/>
        <v>3.333333333</v>
      </c>
      <c r="AC22" s="9" t="str">
        <f t="shared" si="15"/>
        <v>Hợp lệ</v>
      </c>
      <c r="AD22" s="14">
        <f t="shared" si="16"/>
        <v>5000000</v>
      </c>
      <c r="AE22" s="14">
        <f t="shared" si="17"/>
        <v>0</v>
      </c>
      <c r="AF22" s="14">
        <f t="shared" si="18"/>
        <v>5000000</v>
      </c>
      <c r="AG22" s="9">
        <f t="shared" si="19"/>
        <v>3</v>
      </c>
      <c r="AH22" s="14">
        <f t="shared" si="20"/>
        <v>3000000</v>
      </c>
      <c r="AI22" s="14">
        <f t="shared" si="21"/>
        <v>0</v>
      </c>
      <c r="AJ22" s="14">
        <f t="shared" si="22"/>
        <v>3000000</v>
      </c>
    </row>
    <row r="23">
      <c r="A23" s="4" t="s">
        <v>59</v>
      </c>
      <c r="B23" s="5">
        <v>34.0</v>
      </c>
      <c r="C23" s="5">
        <v>0.0</v>
      </c>
      <c r="D23" s="6">
        <v>0.95</v>
      </c>
      <c r="E23" s="5">
        <v>80.0</v>
      </c>
      <c r="F23" s="5">
        <v>0.0</v>
      </c>
      <c r="G23" s="5">
        <v>70.0</v>
      </c>
      <c r="H23" s="7">
        <f t="shared" si="1"/>
        <v>56</v>
      </c>
      <c r="I23" s="8" t="s">
        <v>37</v>
      </c>
      <c r="J23" s="9">
        <f t="shared" si="2"/>
        <v>12</v>
      </c>
      <c r="K23" s="7">
        <f t="shared" si="3"/>
        <v>71.9</v>
      </c>
      <c r="L23" s="7">
        <f t="shared" si="4"/>
        <v>72.8</v>
      </c>
      <c r="M23" s="7">
        <f t="shared" si="5"/>
        <v>69.7</v>
      </c>
      <c r="N23" s="9">
        <f t="shared" si="6"/>
        <v>13</v>
      </c>
      <c r="O23" s="9">
        <f t="shared" si="7"/>
        <v>9</v>
      </c>
      <c r="P23" s="9">
        <f t="shared" si="8"/>
        <v>3</v>
      </c>
      <c r="Q23" s="9" t="str">
        <f t="shared" si="9"/>
        <v>Kích hoạt</v>
      </c>
      <c r="R23" s="9">
        <f t="shared" si="10"/>
        <v>3</v>
      </c>
      <c r="S23" s="10">
        <f t="shared" si="11"/>
        <v>0</v>
      </c>
      <c r="T23" s="9">
        <f t="shared" si="12"/>
        <v>0</v>
      </c>
      <c r="U23" s="9">
        <f t="shared" si="13"/>
        <v>12</v>
      </c>
      <c r="V23" s="5">
        <v>16.0</v>
      </c>
      <c r="W23" s="11">
        <v>46114.0</v>
      </c>
      <c r="X23" s="5">
        <v>10.0</v>
      </c>
      <c r="Y23" s="12">
        <f t="shared" si="14"/>
        <v>11700000</v>
      </c>
      <c r="Z23" s="13">
        <v>10.0</v>
      </c>
      <c r="AA23" s="7">
        <f t="shared" si="23"/>
        <v>13.33333333</v>
      </c>
      <c r="AB23" s="7">
        <f t="shared" si="24"/>
        <v>1.333333333</v>
      </c>
      <c r="AC23" s="9" t="str">
        <f t="shared" si="15"/>
        <v>Hợp lệ</v>
      </c>
      <c r="AD23" s="14">
        <f t="shared" si="16"/>
        <v>2000000</v>
      </c>
      <c r="AE23" s="14">
        <f t="shared" si="17"/>
        <v>0</v>
      </c>
      <c r="AF23" s="14">
        <f t="shared" si="18"/>
        <v>2000000</v>
      </c>
      <c r="AG23" s="9">
        <f t="shared" si="19"/>
        <v>1</v>
      </c>
      <c r="AH23" s="14">
        <f t="shared" si="20"/>
        <v>0</v>
      </c>
      <c r="AI23" s="14">
        <f t="shared" si="21"/>
        <v>0</v>
      </c>
      <c r="AJ23" s="14">
        <f t="shared" si="22"/>
        <v>0</v>
      </c>
    </row>
    <row r="24">
      <c r="A24" s="4" t="s">
        <v>60</v>
      </c>
      <c r="B24" s="5">
        <v>35.0</v>
      </c>
      <c r="C24" s="5">
        <v>0.0</v>
      </c>
      <c r="D24" s="6">
        <v>0.97</v>
      </c>
      <c r="E24" s="5">
        <v>90.0</v>
      </c>
      <c r="F24" s="5">
        <v>0.0</v>
      </c>
      <c r="G24" s="5">
        <v>80.0</v>
      </c>
      <c r="H24" s="7">
        <f t="shared" si="1"/>
        <v>64</v>
      </c>
      <c r="I24" s="8" t="s">
        <v>37</v>
      </c>
      <c r="J24" s="9">
        <f t="shared" si="2"/>
        <v>14</v>
      </c>
      <c r="K24" s="7">
        <f t="shared" si="3"/>
        <v>77.1</v>
      </c>
      <c r="L24" s="7">
        <f t="shared" si="4"/>
        <v>74.8</v>
      </c>
      <c r="M24" s="7">
        <f t="shared" si="5"/>
        <v>72.1</v>
      </c>
      <c r="N24" s="9">
        <f t="shared" si="6"/>
        <v>13</v>
      </c>
      <c r="O24" s="9">
        <f t="shared" si="7"/>
        <v>9</v>
      </c>
      <c r="P24" s="9">
        <f t="shared" si="8"/>
        <v>3</v>
      </c>
      <c r="Q24" s="9" t="str">
        <f t="shared" si="9"/>
        <v>Kích hoạt</v>
      </c>
      <c r="R24" s="9">
        <f t="shared" si="10"/>
        <v>3</v>
      </c>
      <c r="S24" s="10">
        <f t="shared" si="11"/>
        <v>0</v>
      </c>
      <c r="T24" s="9">
        <f t="shared" si="12"/>
        <v>2</v>
      </c>
      <c r="U24" s="9">
        <f t="shared" si="13"/>
        <v>14</v>
      </c>
      <c r="V24" s="5">
        <v>15.0</v>
      </c>
      <c r="W24" s="11">
        <v>46114.0</v>
      </c>
      <c r="X24" s="5">
        <v>14.0</v>
      </c>
      <c r="Y24" s="12">
        <f t="shared" si="14"/>
        <v>11700000</v>
      </c>
      <c r="Z24" s="13">
        <v>14.0</v>
      </c>
      <c r="AA24" s="7">
        <f t="shared" si="23"/>
        <v>13</v>
      </c>
      <c r="AB24" s="7">
        <f t="shared" si="24"/>
        <v>1</v>
      </c>
      <c r="AC24" s="9" t="str">
        <f t="shared" si="15"/>
        <v>Hợp lệ</v>
      </c>
      <c r="AD24" s="14">
        <f t="shared" si="16"/>
        <v>0</v>
      </c>
      <c r="AE24" s="14">
        <f t="shared" si="17"/>
        <v>4500000</v>
      </c>
      <c r="AF24" s="14">
        <f t="shared" si="18"/>
        <v>4500000</v>
      </c>
      <c r="AG24" s="9">
        <f t="shared" si="19"/>
        <v>1</v>
      </c>
      <c r="AH24" s="14">
        <f t="shared" si="20"/>
        <v>0</v>
      </c>
      <c r="AI24" s="14">
        <f t="shared" si="21"/>
        <v>0</v>
      </c>
      <c r="AJ24" s="14">
        <f t="shared" si="22"/>
        <v>0</v>
      </c>
    </row>
    <row r="25">
      <c r="A25" s="4" t="s">
        <v>61</v>
      </c>
      <c r="B25" s="5">
        <v>38.0</v>
      </c>
      <c r="C25" s="5">
        <v>0.0</v>
      </c>
      <c r="D25" s="6">
        <v>0.99</v>
      </c>
      <c r="E25" s="5">
        <v>110.0</v>
      </c>
      <c r="F25" s="5">
        <v>0.0</v>
      </c>
      <c r="G25" s="5">
        <v>65.0</v>
      </c>
      <c r="H25" s="7">
        <f t="shared" si="1"/>
        <v>52</v>
      </c>
      <c r="I25" s="8" t="s">
        <v>37</v>
      </c>
      <c r="J25" s="9">
        <f t="shared" si="2"/>
        <v>11</v>
      </c>
      <c r="K25" s="7">
        <f t="shared" si="3"/>
        <v>87.4</v>
      </c>
      <c r="L25" s="7">
        <f t="shared" si="4"/>
        <v>72.4</v>
      </c>
      <c r="M25" s="7">
        <f t="shared" si="5"/>
        <v>71.2</v>
      </c>
      <c r="N25" s="9">
        <f t="shared" si="6"/>
        <v>13</v>
      </c>
      <c r="O25" s="9">
        <f t="shared" si="7"/>
        <v>9</v>
      </c>
      <c r="P25" s="9">
        <f t="shared" si="8"/>
        <v>3</v>
      </c>
      <c r="Q25" s="9" t="str">
        <f t="shared" si="9"/>
        <v>Kích hoạt</v>
      </c>
      <c r="R25" s="9">
        <f t="shared" si="10"/>
        <v>3</v>
      </c>
      <c r="S25" s="10">
        <f t="shared" si="11"/>
        <v>0</v>
      </c>
      <c r="T25" s="9">
        <f t="shared" si="12"/>
        <v>0</v>
      </c>
      <c r="U25" s="9">
        <f t="shared" si="13"/>
        <v>12</v>
      </c>
      <c r="V25" s="5">
        <v>16.0</v>
      </c>
      <c r="W25" s="11">
        <v>46114.0</v>
      </c>
      <c r="X25" s="5">
        <v>8.0</v>
      </c>
      <c r="Y25" s="12">
        <f t="shared" si="14"/>
        <v>11700000</v>
      </c>
      <c r="Z25" s="13">
        <v>8.0</v>
      </c>
      <c r="AA25" s="7">
        <f t="shared" si="23"/>
        <v>12.33333333</v>
      </c>
      <c r="AB25" s="7">
        <f t="shared" si="24"/>
        <v>1.333333333</v>
      </c>
      <c r="AC25" s="9" t="str">
        <f t="shared" si="15"/>
        <v>Hợp lệ</v>
      </c>
      <c r="AD25" s="14">
        <f t="shared" si="16"/>
        <v>2000000</v>
      </c>
      <c r="AE25" s="14">
        <f t="shared" si="17"/>
        <v>0</v>
      </c>
      <c r="AF25" s="14">
        <f t="shared" si="18"/>
        <v>2000000</v>
      </c>
      <c r="AG25" s="9">
        <f t="shared" si="19"/>
        <v>2</v>
      </c>
      <c r="AH25" s="14">
        <f t="shared" si="20"/>
        <v>1500000</v>
      </c>
      <c r="AI25" s="14">
        <f t="shared" si="21"/>
        <v>0</v>
      </c>
      <c r="AJ25" s="14">
        <f t="shared" si="22"/>
        <v>1500000</v>
      </c>
    </row>
    <row r="26">
      <c r="A26" s="4" t="s">
        <v>62</v>
      </c>
      <c r="B26" s="5">
        <v>35.0</v>
      </c>
      <c r="C26" s="5">
        <v>0.0</v>
      </c>
      <c r="D26" s="6">
        <v>1.0</v>
      </c>
      <c r="E26" s="5">
        <v>88.0</v>
      </c>
      <c r="F26" s="5">
        <v>0.0</v>
      </c>
      <c r="G26" s="5">
        <v>50.0</v>
      </c>
      <c r="H26" s="7">
        <f t="shared" si="1"/>
        <v>40</v>
      </c>
      <c r="I26" s="8" t="s">
        <v>37</v>
      </c>
      <c r="J26" s="9">
        <f t="shared" si="2"/>
        <v>9</v>
      </c>
      <c r="K26" s="7">
        <f t="shared" si="3"/>
        <v>76.1</v>
      </c>
      <c r="L26" s="7">
        <f t="shared" si="4"/>
        <v>71.5</v>
      </c>
      <c r="M26" s="7">
        <f t="shared" si="5"/>
        <v>68.7</v>
      </c>
      <c r="N26" s="9">
        <f t="shared" si="6"/>
        <v>12</v>
      </c>
      <c r="O26" s="9">
        <f t="shared" si="7"/>
        <v>8</v>
      </c>
      <c r="P26" s="9">
        <f t="shared" si="8"/>
        <v>2</v>
      </c>
      <c r="Q26" s="9" t="str">
        <f t="shared" si="9"/>
        <v>Kích hoạt</v>
      </c>
      <c r="R26" s="9">
        <f t="shared" si="10"/>
        <v>2</v>
      </c>
      <c r="S26" s="10">
        <f t="shared" si="11"/>
        <v>0</v>
      </c>
      <c r="T26" s="9">
        <f t="shared" si="12"/>
        <v>0</v>
      </c>
      <c r="U26" s="9">
        <f t="shared" si="13"/>
        <v>10</v>
      </c>
      <c r="V26" s="5">
        <v>15.0</v>
      </c>
      <c r="W26" s="11">
        <v>46114.0</v>
      </c>
      <c r="X26" s="5">
        <v>4.0</v>
      </c>
      <c r="Y26" s="12">
        <f t="shared" si="14"/>
        <v>11700000</v>
      </c>
      <c r="Z26" s="13">
        <v>5.0</v>
      </c>
      <c r="AA26" s="7">
        <f t="shared" si="23"/>
        <v>12.33333333</v>
      </c>
      <c r="AB26" s="7">
        <f t="shared" si="24"/>
        <v>3.333333333</v>
      </c>
      <c r="AC26" s="9" t="str">
        <f t="shared" si="15"/>
        <v>Hợp lệ</v>
      </c>
      <c r="AD26" s="14">
        <f t="shared" si="16"/>
        <v>5000000</v>
      </c>
      <c r="AE26" s="14">
        <f t="shared" si="17"/>
        <v>0</v>
      </c>
      <c r="AF26" s="14">
        <f t="shared" si="18"/>
        <v>5000000</v>
      </c>
      <c r="AG26" s="9">
        <f t="shared" si="19"/>
        <v>3</v>
      </c>
      <c r="AH26" s="14">
        <f t="shared" si="20"/>
        <v>1500000</v>
      </c>
      <c r="AI26" s="14">
        <f t="shared" si="21"/>
        <v>0</v>
      </c>
      <c r="AJ26" s="14">
        <f t="shared" si="22"/>
        <v>1500000</v>
      </c>
    </row>
    <row r="27">
      <c r="A27" s="4" t="s">
        <v>63</v>
      </c>
      <c r="B27" s="5">
        <v>30.0</v>
      </c>
      <c r="C27" s="5">
        <v>75.0</v>
      </c>
      <c r="D27" s="6">
        <v>1.0</v>
      </c>
      <c r="E27" s="5">
        <v>15.0</v>
      </c>
      <c r="F27" s="5">
        <v>0.0</v>
      </c>
      <c r="G27" s="5">
        <v>15.0</v>
      </c>
      <c r="H27" s="7">
        <f t="shared" si="1"/>
        <v>12</v>
      </c>
      <c r="I27" s="8" t="s">
        <v>37</v>
      </c>
      <c r="J27" s="9">
        <f t="shared" si="2"/>
        <v>3</v>
      </c>
      <c r="K27" s="7">
        <f t="shared" si="3"/>
        <v>38.5</v>
      </c>
      <c r="L27" s="7">
        <f t="shared" si="4"/>
        <v>34.8</v>
      </c>
      <c r="M27" s="7">
        <f t="shared" si="5"/>
        <v>35.2</v>
      </c>
      <c r="N27" s="9">
        <f t="shared" si="6"/>
        <v>6</v>
      </c>
      <c r="O27" s="9">
        <f t="shared" si="7"/>
        <v>4</v>
      </c>
      <c r="P27" s="9">
        <f t="shared" si="8"/>
        <v>1</v>
      </c>
      <c r="Q27" s="9" t="str">
        <f t="shared" si="9"/>
        <v>Hủy slot (Mưa &gt; 20mm)</v>
      </c>
      <c r="R27" s="9">
        <f t="shared" si="10"/>
        <v>0</v>
      </c>
      <c r="S27" s="10">
        <f t="shared" si="11"/>
        <v>150000</v>
      </c>
      <c r="T27" s="9">
        <f t="shared" si="12"/>
        <v>0</v>
      </c>
      <c r="U27" s="9">
        <f t="shared" si="13"/>
        <v>4</v>
      </c>
      <c r="V27" s="5">
        <v>16.0</v>
      </c>
      <c r="W27" s="11">
        <v>46114.0</v>
      </c>
      <c r="X27" s="5">
        <v>1.0</v>
      </c>
      <c r="Y27" s="12">
        <f t="shared" si="14"/>
        <v>9000000</v>
      </c>
      <c r="Z27" s="13">
        <v>1.0</v>
      </c>
      <c r="AA27" s="7">
        <f t="shared" si="23"/>
        <v>11.33333333</v>
      </c>
      <c r="AB27" s="7">
        <f t="shared" si="24"/>
        <v>8.333333333</v>
      </c>
      <c r="AC27" s="9" t="str">
        <f t="shared" si="15"/>
        <v>Hợp lệ</v>
      </c>
      <c r="AD27" s="14">
        <f t="shared" si="16"/>
        <v>12500000</v>
      </c>
      <c r="AE27" s="14">
        <f t="shared" si="17"/>
        <v>0</v>
      </c>
      <c r="AF27" s="14">
        <f t="shared" si="18"/>
        <v>12500000</v>
      </c>
      <c r="AG27" s="9">
        <f t="shared" si="19"/>
        <v>3</v>
      </c>
      <c r="AH27" s="14">
        <f t="shared" si="20"/>
        <v>1500000</v>
      </c>
      <c r="AI27" s="14">
        <f t="shared" si="21"/>
        <v>0</v>
      </c>
      <c r="AJ27" s="14">
        <f t="shared" si="22"/>
        <v>1650000</v>
      </c>
    </row>
    <row r="28">
      <c r="A28" s="4" t="s">
        <v>64</v>
      </c>
      <c r="B28" s="5">
        <v>30.0</v>
      </c>
      <c r="C28" s="5">
        <v>0.0</v>
      </c>
      <c r="D28" s="6">
        <v>1.0</v>
      </c>
      <c r="E28" s="5">
        <v>38.0</v>
      </c>
      <c r="F28" s="5">
        <v>1.0</v>
      </c>
      <c r="G28" s="5">
        <v>55.0</v>
      </c>
      <c r="H28" s="7">
        <f t="shared" si="1"/>
        <v>46.75</v>
      </c>
      <c r="I28" s="8" t="s">
        <v>37</v>
      </c>
      <c r="J28" s="9">
        <f t="shared" si="2"/>
        <v>10</v>
      </c>
      <c r="K28" s="7">
        <f t="shared" si="3"/>
        <v>50.3</v>
      </c>
      <c r="L28" s="7">
        <f t="shared" si="4"/>
        <v>57</v>
      </c>
      <c r="M28" s="7">
        <f t="shared" si="5"/>
        <v>60.9</v>
      </c>
      <c r="N28" s="9">
        <f t="shared" si="6"/>
        <v>11</v>
      </c>
      <c r="O28" s="9">
        <f t="shared" si="7"/>
        <v>8</v>
      </c>
      <c r="P28" s="9">
        <f t="shared" si="8"/>
        <v>2</v>
      </c>
      <c r="Q28" s="9" t="str">
        <f t="shared" si="9"/>
        <v>Kích hoạt</v>
      </c>
      <c r="R28" s="9">
        <f t="shared" si="10"/>
        <v>2</v>
      </c>
      <c r="S28" s="10">
        <f t="shared" si="11"/>
        <v>0</v>
      </c>
      <c r="T28" s="9">
        <f t="shared" si="12"/>
        <v>0</v>
      </c>
      <c r="U28" s="9">
        <f t="shared" si="13"/>
        <v>10</v>
      </c>
      <c r="V28" s="5">
        <v>12.0</v>
      </c>
      <c r="W28" s="11">
        <v>46114.0</v>
      </c>
      <c r="X28" s="5">
        <v>6.0</v>
      </c>
      <c r="Y28" s="12">
        <f t="shared" si="14"/>
        <v>11700000</v>
      </c>
      <c r="Z28" s="13">
        <v>6.0</v>
      </c>
      <c r="AA28" s="7">
        <f t="shared" si="23"/>
        <v>7.666666667</v>
      </c>
      <c r="AB28" s="7">
        <f t="shared" si="24"/>
        <v>2.333333333</v>
      </c>
      <c r="AC28" s="9" t="str">
        <f t="shared" si="15"/>
        <v>Hợp lệ</v>
      </c>
      <c r="AD28" s="14">
        <f t="shared" si="16"/>
        <v>0</v>
      </c>
      <c r="AE28" s="14">
        <f t="shared" si="17"/>
        <v>10500000</v>
      </c>
      <c r="AF28" s="14">
        <f t="shared" si="18"/>
        <v>10500000</v>
      </c>
      <c r="AG28" s="9">
        <f t="shared" si="19"/>
        <v>1</v>
      </c>
      <c r="AH28" s="14">
        <f t="shared" si="20"/>
        <v>0</v>
      </c>
      <c r="AI28" s="14">
        <f t="shared" si="21"/>
        <v>0</v>
      </c>
      <c r="AJ28" s="14">
        <f t="shared" si="22"/>
        <v>0</v>
      </c>
    </row>
    <row r="29">
      <c r="A29" s="4" t="s">
        <v>65</v>
      </c>
      <c r="B29" s="5">
        <v>32.0</v>
      </c>
      <c r="C29" s="5">
        <v>0.0</v>
      </c>
      <c r="D29" s="6">
        <v>1.0</v>
      </c>
      <c r="E29" s="5">
        <v>32.0</v>
      </c>
      <c r="F29" s="5">
        <v>1.0</v>
      </c>
      <c r="G29" s="5">
        <v>40.0</v>
      </c>
      <c r="H29" s="7">
        <f t="shared" si="1"/>
        <v>34</v>
      </c>
      <c r="I29" s="8" t="s">
        <v>37</v>
      </c>
      <c r="J29" s="9">
        <f t="shared" si="2"/>
        <v>8</v>
      </c>
      <c r="K29" s="7">
        <f t="shared" si="3"/>
        <v>47.3</v>
      </c>
      <c r="L29" s="7">
        <f t="shared" si="4"/>
        <v>36.4</v>
      </c>
      <c r="M29" s="7">
        <f t="shared" si="5"/>
        <v>41.6</v>
      </c>
      <c r="N29" s="9">
        <f t="shared" si="6"/>
        <v>7</v>
      </c>
      <c r="O29" s="9">
        <f t="shared" si="7"/>
        <v>5</v>
      </c>
      <c r="P29" s="9">
        <f t="shared" si="8"/>
        <v>1</v>
      </c>
      <c r="Q29" s="9" t="str">
        <f t="shared" si="9"/>
        <v>Kích hoạt</v>
      </c>
      <c r="R29" s="9">
        <f t="shared" si="10"/>
        <v>1</v>
      </c>
      <c r="S29" s="10">
        <f t="shared" si="11"/>
        <v>0</v>
      </c>
      <c r="T29" s="9">
        <f t="shared" si="12"/>
        <v>2</v>
      </c>
      <c r="U29" s="9">
        <f t="shared" si="13"/>
        <v>8</v>
      </c>
      <c r="V29" s="5">
        <v>12.0</v>
      </c>
      <c r="W29" s="11">
        <v>46114.0</v>
      </c>
      <c r="X29" s="5">
        <v>3.0</v>
      </c>
      <c r="Y29" s="12">
        <f t="shared" si="14"/>
        <v>11700000</v>
      </c>
      <c r="Z29" s="13">
        <v>3.0</v>
      </c>
      <c r="AA29" s="7">
        <f t="shared" si="23"/>
        <v>7.333333333</v>
      </c>
      <c r="AB29" s="7">
        <f t="shared" si="24"/>
        <v>0.6666666667</v>
      </c>
      <c r="AC29" s="9" t="str">
        <f t="shared" si="15"/>
        <v>Hợp lệ</v>
      </c>
      <c r="AD29" s="14">
        <f t="shared" si="16"/>
        <v>0</v>
      </c>
      <c r="AE29" s="14">
        <f t="shared" si="17"/>
        <v>3000000</v>
      </c>
      <c r="AF29" s="14">
        <f t="shared" si="18"/>
        <v>3000000</v>
      </c>
      <c r="AG29" s="9">
        <f t="shared" si="19"/>
        <v>1</v>
      </c>
      <c r="AH29" s="14">
        <f t="shared" si="20"/>
        <v>0</v>
      </c>
      <c r="AI29" s="14">
        <f t="shared" si="21"/>
        <v>0</v>
      </c>
      <c r="AJ29" s="14">
        <f t="shared" si="22"/>
        <v>0</v>
      </c>
    </row>
    <row r="30">
      <c r="A30" s="4" t="s">
        <v>66</v>
      </c>
      <c r="B30" s="5">
        <v>32.0</v>
      </c>
      <c r="C30" s="5">
        <v>0.0</v>
      </c>
      <c r="D30" s="6">
        <v>1.0</v>
      </c>
      <c r="E30" s="5">
        <v>25.0</v>
      </c>
      <c r="F30" s="5">
        <v>0.0</v>
      </c>
      <c r="G30" s="5">
        <v>35.0</v>
      </c>
      <c r="H30" s="7">
        <f t="shared" si="1"/>
        <v>28</v>
      </c>
      <c r="I30" s="8" t="s">
        <v>37</v>
      </c>
      <c r="J30" s="9">
        <f t="shared" si="2"/>
        <v>6</v>
      </c>
      <c r="K30" s="7">
        <f t="shared" si="3"/>
        <v>43.7</v>
      </c>
      <c r="L30" s="7">
        <f t="shared" si="4"/>
        <v>29.3</v>
      </c>
      <c r="M30" s="7">
        <f t="shared" si="5"/>
        <v>25.9</v>
      </c>
      <c r="N30" s="9">
        <f t="shared" si="6"/>
        <v>5</v>
      </c>
      <c r="O30" s="9">
        <f t="shared" si="7"/>
        <v>4</v>
      </c>
      <c r="P30" s="9">
        <f t="shared" si="8"/>
        <v>1</v>
      </c>
      <c r="Q30" s="9" t="str">
        <f t="shared" si="9"/>
        <v>Kích hoạt</v>
      </c>
      <c r="R30" s="9">
        <f t="shared" si="10"/>
        <v>1</v>
      </c>
      <c r="S30" s="10">
        <f t="shared" si="11"/>
        <v>0</v>
      </c>
      <c r="T30" s="9">
        <f t="shared" si="12"/>
        <v>1</v>
      </c>
      <c r="U30" s="9">
        <f t="shared" si="13"/>
        <v>6</v>
      </c>
      <c r="V30" s="5">
        <v>15.0</v>
      </c>
      <c r="W30" s="11">
        <v>46114.0</v>
      </c>
      <c r="X30" s="5">
        <v>2.0</v>
      </c>
      <c r="Y30" s="12">
        <f t="shared" si="14"/>
        <v>9000000</v>
      </c>
      <c r="Z30" s="13">
        <v>2.0</v>
      </c>
      <c r="AA30" s="7">
        <f t="shared" si="23"/>
        <v>7</v>
      </c>
      <c r="AB30" s="7">
        <f t="shared" si="24"/>
        <v>1</v>
      </c>
      <c r="AC30" s="9" t="str">
        <f t="shared" si="15"/>
        <v>Hợp lệ</v>
      </c>
      <c r="AD30" s="14">
        <f t="shared" si="16"/>
        <v>1500000</v>
      </c>
      <c r="AE30" s="14">
        <f t="shared" si="17"/>
        <v>0</v>
      </c>
      <c r="AF30" s="14">
        <f t="shared" si="18"/>
        <v>1500000</v>
      </c>
      <c r="AG30" s="9">
        <f t="shared" si="19"/>
        <v>1</v>
      </c>
      <c r="AH30" s="14">
        <f t="shared" si="20"/>
        <v>0</v>
      </c>
      <c r="AI30" s="14">
        <f t="shared" si="21"/>
        <v>0</v>
      </c>
      <c r="AJ30" s="14">
        <f t="shared" si="22"/>
        <v>0</v>
      </c>
    </row>
    <row r="31">
      <c r="A31" s="4" t="s">
        <v>67</v>
      </c>
      <c r="B31" s="5">
        <v>30.0</v>
      </c>
      <c r="C31" s="5">
        <v>10.0</v>
      </c>
      <c r="D31" s="6">
        <v>1.0</v>
      </c>
      <c r="E31" s="5">
        <v>18.0</v>
      </c>
      <c r="F31" s="5">
        <v>0.0</v>
      </c>
      <c r="G31" s="5">
        <v>25.0</v>
      </c>
      <c r="H31" s="7">
        <f t="shared" si="1"/>
        <v>20</v>
      </c>
      <c r="I31" s="8" t="s">
        <v>37</v>
      </c>
      <c r="J31" s="9">
        <f t="shared" si="2"/>
        <v>5</v>
      </c>
      <c r="K31" s="7">
        <f t="shared" si="3"/>
        <v>40.1</v>
      </c>
      <c r="L31" s="7">
        <f t="shared" si="4"/>
        <v>36.9</v>
      </c>
      <c r="M31" s="7">
        <f t="shared" si="5"/>
        <v>33</v>
      </c>
      <c r="N31" s="9">
        <f t="shared" si="6"/>
        <v>7</v>
      </c>
      <c r="O31" s="9">
        <f t="shared" si="7"/>
        <v>5</v>
      </c>
      <c r="P31" s="9">
        <f t="shared" si="8"/>
        <v>1</v>
      </c>
      <c r="Q31" s="9" t="str">
        <f t="shared" si="9"/>
        <v>Kích hoạt</v>
      </c>
      <c r="R31" s="9">
        <f t="shared" si="10"/>
        <v>1</v>
      </c>
      <c r="S31" s="10">
        <f t="shared" si="11"/>
        <v>0</v>
      </c>
      <c r="T31" s="9">
        <f t="shared" si="12"/>
        <v>0</v>
      </c>
      <c r="U31" s="9">
        <f t="shared" si="13"/>
        <v>6</v>
      </c>
      <c r="V31" s="5">
        <v>15.0</v>
      </c>
      <c r="W31" s="11">
        <v>46114.0</v>
      </c>
      <c r="X31" s="5">
        <v>1.0</v>
      </c>
      <c r="Y31" s="12">
        <f t="shared" si="14"/>
        <v>9000000</v>
      </c>
      <c r="Z31" s="13">
        <v>2.0</v>
      </c>
      <c r="AA31" s="7">
        <f t="shared" si="23"/>
        <v>8</v>
      </c>
      <c r="AB31" s="7">
        <f t="shared" si="24"/>
        <v>3</v>
      </c>
      <c r="AC31" s="9" t="str">
        <f t="shared" si="15"/>
        <v>Hợp lệ</v>
      </c>
      <c r="AD31" s="14">
        <f t="shared" si="16"/>
        <v>4500000</v>
      </c>
      <c r="AE31" s="14">
        <f t="shared" si="17"/>
        <v>0</v>
      </c>
      <c r="AF31" s="14">
        <f t="shared" si="18"/>
        <v>4500000</v>
      </c>
      <c r="AG31" s="9">
        <f t="shared" si="19"/>
        <v>2</v>
      </c>
      <c r="AH31" s="14">
        <f t="shared" si="20"/>
        <v>1500000</v>
      </c>
      <c r="AI31" s="14">
        <f t="shared" si="21"/>
        <v>0</v>
      </c>
      <c r="AJ31" s="14">
        <f t="shared" si="22"/>
        <v>1500000</v>
      </c>
    </row>
    <row r="32">
      <c r="A32" s="4" t="s">
        <v>68</v>
      </c>
      <c r="B32" s="5">
        <v>31.0</v>
      </c>
      <c r="C32" s="5">
        <v>0.0</v>
      </c>
      <c r="D32" s="6">
        <v>1.0</v>
      </c>
      <c r="E32" s="5">
        <v>12.0</v>
      </c>
      <c r="F32" s="5">
        <v>0.0</v>
      </c>
      <c r="G32" s="5">
        <v>15.0</v>
      </c>
      <c r="H32" s="7">
        <f t="shared" si="1"/>
        <v>12</v>
      </c>
      <c r="I32" s="8" t="s">
        <v>37</v>
      </c>
      <c r="J32" s="9">
        <f t="shared" si="2"/>
        <v>3</v>
      </c>
      <c r="K32" s="7">
        <f t="shared" si="3"/>
        <v>37</v>
      </c>
      <c r="L32" s="7">
        <f t="shared" si="4"/>
        <v>23.3</v>
      </c>
      <c r="M32" s="7">
        <f t="shared" si="5"/>
        <v>19.6</v>
      </c>
      <c r="N32" s="9">
        <f t="shared" si="6"/>
        <v>4</v>
      </c>
      <c r="O32" s="9">
        <f t="shared" si="7"/>
        <v>3</v>
      </c>
      <c r="P32" s="9">
        <f t="shared" si="8"/>
        <v>1</v>
      </c>
      <c r="Q32" s="9" t="str">
        <f t="shared" si="9"/>
        <v>Kích hoạt</v>
      </c>
      <c r="R32" s="9">
        <f t="shared" si="10"/>
        <v>1</v>
      </c>
      <c r="S32" s="10">
        <f t="shared" si="11"/>
        <v>0</v>
      </c>
      <c r="T32" s="9">
        <f t="shared" si="12"/>
        <v>0</v>
      </c>
      <c r="U32" s="9">
        <f t="shared" si="13"/>
        <v>4</v>
      </c>
      <c r="V32" s="5">
        <v>15.0</v>
      </c>
      <c r="W32" s="11">
        <v>46114.0</v>
      </c>
      <c r="X32" s="5">
        <v>1.0</v>
      </c>
      <c r="Y32" s="12">
        <f t="shared" si="14"/>
        <v>9000000</v>
      </c>
      <c r="Z32" s="13">
        <v>1.0</v>
      </c>
      <c r="AA32" s="7">
        <f t="shared" si="23"/>
        <v>6.333333333</v>
      </c>
      <c r="AB32" s="7">
        <f t="shared" si="24"/>
        <v>3.333333333</v>
      </c>
      <c r="AC32" s="9" t="str">
        <f t="shared" si="15"/>
        <v>Hợp lệ</v>
      </c>
      <c r="AD32" s="14">
        <f t="shared" si="16"/>
        <v>5000000</v>
      </c>
      <c r="AE32" s="14">
        <f t="shared" si="17"/>
        <v>0</v>
      </c>
      <c r="AF32" s="14">
        <f t="shared" si="18"/>
        <v>5000000</v>
      </c>
      <c r="AG32" s="9">
        <f t="shared" si="19"/>
        <v>1</v>
      </c>
      <c r="AH32" s="14">
        <f t="shared" si="20"/>
        <v>1500000</v>
      </c>
      <c r="AI32" s="14">
        <f t="shared" si="21"/>
        <v>0</v>
      </c>
      <c r="AJ32" s="14">
        <f t="shared" si="22"/>
        <v>1500000</v>
      </c>
    </row>
    <row r="3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6"/>
      <c r="Z33" s="15"/>
      <c r="AA33" s="15"/>
      <c r="AB33" s="15"/>
      <c r="AC33" s="15"/>
      <c r="AD33" s="16"/>
      <c r="AE33" s="16"/>
      <c r="AF33" s="16"/>
      <c r="AG33" s="15"/>
      <c r="AH33" s="16"/>
      <c r="AI33" s="16"/>
      <c r="AJ33" s="16"/>
    </row>
    <row r="34" ht="24.0" customHeight="1">
      <c r="B34" s="17" t="s">
        <v>69</v>
      </c>
      <c r="C34" s="18"/>
      <c r="D34" s="18"/>
      <c r="E34" s="18"/>
      <c r="F34" s="1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  <c r="Z34" s="15"/>
      <c r="AA34" s="15"/>
      <c r="AB34" s="15"/>
      <c r="AC34" s="15"/>
      <c r="AD34" s="16"/>
      <c r="AE34" s="16"/>
      <c r="AF34" s="16"/>
      <c r="AG34" s="15"/>
      <c r="AH34" s="16"/>
      <c r="AI34" s="16"/>
      <c r="AJ34" s="16"/>
    </row>
    <row r="35">
      <c r="B35" s="20" t="s">
        <v>70</v>
      </c>
      <c r="C35" s="20" t="s">
        <v>71</v>
      </c>
      <c r="D35" s="20" t="s">
        <v>72</v>
      </c>
      <c r="E35" s="20" t="s">
        <v>73</v>
      </c>
      <c r="F35" s="20" t="s">
        <v>74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15"/>
      <c r="AA35" s="15"/>
      <c r="AB35" s="15"/>
      <c r="AC35" s="15"/>
      <c r="AD35" s="16"/>
      <c r="AE35" s="16"/>
      <c r="AF35" s="16"/>
      <c r="AG35" s="15"/>
      <c r="AH35" s="16"/>
      <c r="AI35" s="16"/>
      <c r="AJ35" s="16"/>
    </row>
    <row r="36">
      <c r="B36" s="20" t="s">
        <v>75</v>
      </c>
      <c r="C36" s="21">
        <f>AVERAGE(AB6:AB32)</f>
        <v>3.160493827</v>
      </c>
      <c r="D36" s="21">
        <f>AVERAGE(AG3:AG32)</f>
        <v>2.2</v>
      </c>
      <c r="E36" s="21">
        <f t="shared" ref="E36:E40" si="25">C36 - D36</f>
        <v>0.9604938272</v>
      </c>
      <c r="F36" s="22">
        <f t="shared" ref="F36:F38" si="26">(C36 - D36) / C36</f>
        <v>0.30390625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6"/>
      <c r="Z36" s="15"/>
      <c r="AA36" s="15"/>
      <c r="AB36" s="15"/>
      <c r="AC36" s="15"/>
      <c r="AD36" s="16"/>
      <c r="AE36" s="16"/>
      <c r="AF36" s="16"/>
      <c r="AG36" s="15"/>
      <c r="AH36" s="16"/>
      <c r="AI36" s="16"/>
      <c r="AJ36" s="16"/>
    </row>
    <row r="37">
      <c r="B37" s="20" t="s">
        <v>76</v>
      </c>
      <c r="C37" s="22">
        <f>SUM(AB6:AB32) / SUM(J6:J32)</f>
        <v>0.3026004728</v>
      </c>
      <c r="D37" s="22">
        <f>SUM(AG3:AG32) / SUM(J3:J32)</f>
        <v>0.2244897959</v>
      </c>
      <c r="E37" s="22">
        <f t="shared" si="25"/>
        <v>0.07811067689</v>
      </c>
      <c r="F37" s="22">
        <f t="shared" si="26"/>
        <v>0.2581313776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5"/>
      <c r="AA37" s="15"/>
      <c r="AB37" s="15"/>
      <c r="AC37" s="15"/>
      <c r="AD37" s="16"/>
      <c r="AE37" s="16"/>
      <c r="AF37" s="16"/>
      <c r="AG37" s="15"/>
      <c r="AH37" s="16"/>
      <c r="AI37" s="16"/>
      <c r="AJ37" s="16"/>
    </row>
    <row r="38">
      <c r="B38" s="20" t="s">
        <v>77</v>
      </c>
      <c r="C38" s="21">
        <f>AVERAGE(AB6:AB32) * 4.8</f>
        <v>15.17037037</v>
      </c>
      <c r="D38" s="21">
        <f t="array" ref="D38">AVERAGE(INDEX(ABS(G3:G32 - M3:M32),0))</f>
        <v>12.16</v>
      </c>
      <c r="E38" s="21">
        <f t="shared" si="25"/>
        <v>3.01037037</v>
      </c>
      <c r="F38" s="22">
        <f t="shared" si="26"/>
        <v>0.1984375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6"/>
      <c r="Z38" s="15"/>
      <c r="AA38" s="15"/>
      <c r="AB38" s="15"/>
      <c r="AC38" s="15"/>
      <c r="AD38" s="16"/>
      <c r="AE38" s="16"/>
      <c r="AF38" s="16"/>
      <c r="AG38" s="15"/>
      <c r="AH38" s="16"/>
      <c r="AI38" s="16"/>
      <c r="AJ38" s="16"/>
    </row>
    <row r="39">
      <c r="B39" s="20" t="s">
        <v>78</v>
      </c>
      <c r="C39" s="23">
        <f>SUM(AD3:AD32)</f>
        <v>63500000</v>
      </c>
      <c r="D39" s="23">
        <f>SUM(AH3:AH32)</f>
        <v>30000000</v>
      </c>
      <c r="E39" s="23">
        <f t="shared" si="25"/>
        <v>33500000</v>
      </c>
      <c r="F39" s="22">
        <f t="shared" ref="F39:F40" si="27">IF(C39=0, 0, (C39 - D39) / C39)</f>
        <v>0.5275590551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6"/>
      <c r="Z39" s="15"/>
      <c r="AA39" s="15"/>
      <c r="AB39" s="15"/>
      <c r="AC39" s="15"/>
      <c r="AD39" s="16"/>
      <c r="AE39" s="16"/>
      <c r="AF39" s="16"/>
      <c r="AG39" s="15"/>
      <c r="AH39" s="16"/>
      <c r="AI39" s="16"/>
      <c r="AJ39" s="16"/>
    </row>
    <row r="40">
      <c r="B40" s="20" t="s">
        <v>79</v>
      </c>
      <c r="C40" s="23">
        <f>SUM(AE3:AE32)</f>
        <v>193500000</v>
      </c>
      <c r="D40" s="23">
        <f>SUM(AI3:AI32)</f>
        <v>0</v>
      </c>
      <c r="E40" s="23">
        <f t="shared" si="25"/>
        <v>193500000</v>
      </c>
      <c r="F40" s="22">
        <f t="shared" si="27"/>
        <v>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6"/>
      <c r="Z40" s="15"/>
      <c r="AA40" s="15"/>
      <c r="AB40" s="15"/>
      <c r="AC40" s="15"/>
      <c r="AD40" s="16"/>
      <c r="AE40" s="16"/>
      <c r="AF40" s="16"/>
      <c r="AG40" s="15"/>
      <c r="AH40" s="16"/>
      <c r="AI40" s="16"/>
      <c r="AJ40" s="16"/>
    </row>
    <row r="41">
      <c r="B41" s="20" t="s">
        <v>80</v>
      </c>
      <c r="C41" s="24">
        <v>0.0</v>
      </c>
      <c r="D41" s="23">
        <f>SUM(S3:S32)</f>
        <v>450000</v>
      </c>
      <c r="E41" s="25"/>
      <c r="F41" s="2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6"/>
      <c r="Z41" s="15"/>
      <c r="AA41" s="15"/>
      <c r="AB41" s="15"/>
      <c r="AC41" s="15"/>
      <c r="AD41" s="16"/>
      <c r="AE41" s="16"/>
      <c r="AF41" s="16"/>
      <c r="AG41" s="15"/>
      <c r="AH41" s="16"/>
      <c r="AI41" s="16"/>
      <c r="AJ41" s="16"/>
    </row>
    <row r="42">
      <c r="B42" s="26" t="s">
        <v>81</v>
      </c>
      <c r="C42" s="27">
        <f>SUM(AF3:AF32)</f>
        <v>257000000</v>
      </c>
      <c r="D42" s="27">
        <f>SUM(AJ3:AJ32)</f>
        <v>30450000</v>
      </c>
      <c r="E42" s="27">
        <f>C42 - D42</f>
        <v>226550000</v>
      </c>
      <c r="F42" s="28">
        <f>(C42 - D42) / C42</f>
        <v>0.8815175097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5"/>
      <c r="AA42" s="15"/>
      <c r="AB42" s="15"/>
      <c r="AC42" s="15"/>
      <c r="AD42" s="16"/>
      <c r="AE42" s="16"/>
      <c r="AF42" s="16"/>
      <c r="AG42" s="15"/>
      <c r="AH42" s="16"/>
      <c r="AI42" s="16"/>
      <c r="AJ42" s="16"/>
    </row>
    <row r="4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6"/>
      <c r="Z43" s="15"/>
      <c r="AA43" s="15"/>
      <c r="AB43" s="15"/>
      <c r="AC43" s="15"/>
      <c r="AD43" s="16"/>
      <c r="AE43" s="16"/>
      <c r="AF43" s="16"/>
      <c r="AG43" s="15"/>
      <c r="AH43" s="16"/>
      <c r="AI43" s="16"/>
      <c r="AJ43" s="16"/>
    </row>
    <row r="44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6"/>
      <c r="Z44" s="15"/>
      <c r="AA44" s="15"/>
      <c r="AB44" s="15"/>
      <c r="AC44" s="15"/>
      <c r="AD44" s="16"/>
      <c r="AE44" s="16"/>
      <c r="AF44" s="16"/>
      <c r="AG44" s="15"/>
      <c r="AH44" s="16"/>
      <c r="AI44" s="16"/>
      <c r="AJ44" s="16"/>
    </row>
    <row r="4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6"/>
      <c r="Z45" s="15"/>
      <c r="AA45" s="15"/>
      <c r="AB45" s="15"/>
      <c r="AC45" s="15"/>
      <c r="AD45" s="16"/>
      <c r="AE45" s="16"/>
      <c r="AF45" s="16"/>
      <c r="AG45" s="15"/>
      <c r="AH45" s="16"/>
      <c r="AI45" s="16"/>
      <c r="AJ45" s="16"/>
    </row>
    <row r="46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6"/>
      <c r="Z46" s="15"/>
      <c r="AA46" s="15"/>
      <c r="AB46" s="15"/>
      <c r="AC46" s="15"/>
      <c r="AD46" s="16"/>
      <c r="AE46" s="16"/>
      <c r="AF46" s="16"/>
      <c r="AG46" s="15"/>
      <c r="AH46" s="16"/>
      <c r="AI46" s="16"/>
      <c r="AJ46" s="16"/>
    </row>
    <row r="47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6"/>
      <c r="Z47" s="15"/>
      <c r="AA47" s="15"/>
      <c r="AB47" s="15"/>
      <c r="AC47" s="15"/>
      <c r="AD47" s="16"/>
      <c r="AE47" s="16"/>
      <c r="AF47" s="16"/>
      <c r="AG47" s="15"/>
      <c r="AH47" s="16"/>
      <c r="AI47" s="16"/>
      <c r="AJ47" s="16"/>
    </row>
    <row r="48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6"/>
      <c r="Z48" s="15"/>
      <c r="AA48" s="15"/>
      <c r="AB48" s="15"/>
      <c r="AC48" s="15"/>
      <c r="AD48" s="16"/>
      <c r="AE48" s="16"/>
      <c r="AF48" s="16"/>
      <c r="AG48" s="15"/>
      <c r="AH48" s="16"/>
      <c r="AI48" s="16"/>
      <c r="AJ48" s="16"/>
    </row>
    <row r="49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6"/>
      <c r="Z49" s="15"/>
      <c r="AA49" s="15"/>
      <c r="AB49" s="15"/>
      <c r="AC49" s="15"/>
      <c r="AD49" s="16"/>
      <c r="AE49" s="16"/>
      <c r="AF49" s="16"/>
      <c r="AG49" s="15"/>
      <c r="AH49" s="16"/>
      <c r="AI49" s="16"/>
      <c r="AJ49" s="16"/>
    </row>
    <row r="50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6"/>
      <c r="Z50" s="15"/>
      <c r="AA50" s="15"/>
      <c r="AB50" s="15"/>
      <c r="AC50" s="15"/>
      <c r="AD50" s="16"/>
      <c r="AE50" s="16"/>
      <c r="AF50" s="16"/>
      <c r="AG50" s="15"/>
      <c r="AH50" s="16"/>
      <c r="AI50" s="16"/>
      <c r="AJ50" s="16"/>
    </row>
    <row r="5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6"/>
      <c r="Z51" s="15"/>
      <c r="AA51" s="15"/>
      <c r="AB51" s="15"/>
      <c r="AC51" s="15"/>
      <c r="AD51" s="16"/>
      <c r="AE51" s="16"/>
      <c r="AF51" s="16"/>
      <c r="AG51" s="15"/>
      <c r="AH51" s="16"/>
      <c r="AI51" s="16"/>
      <c r="AJ51" s="16"/>
    </row>
    <row r="52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6"/>
      <c r="Z52" s="15"/>
      <c r="AA52" s="15"/>
      <c r="AB52" s="15"/>
      <c r="AC52" s="15"/>
      <c r="AD52" s="16"/>
      <c r="AE52" s="16"/>
      <c r="AF52" s="16"/>
      <c r="AG52" s="15"/>
      <c r="AH52" s="16"/>
      <c r="AI52" s="16"/>
      <c r="AJ52" s="16"/>
    </row>
    <row r="5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6"/>
      <c r="Z53" s="15"/>
      <c r="AA53" s="15"/>
      <c r="AB53" s="15"/>
      <c r="AC53" s="15"/>
      <c r="AD53" s="16"/>
      <c r="AE53" s="16"/>
      <c r="AF53" s="16"/>
      <c r="AG53" s="15"/>
      <c r="AH53" s="16"/>
      <c r="AI53" s="16"/>
      <c r="AJ53" s="16"/>
    </row>
    <row r="54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6"/>
      <c r="Z54" s="15"/>
      <c r="AA54" s="15"/>
      <c r="AB54" s="15"/>
      <c r="AC54" s="15"/>
      <c r="AD54" s="16"/>
      <c r="AE54" s="16"/>
      <c r="AF54" s="16"/>
      <c r="AG54" s="15"/>
      <c r="AH54" s="16"/>
      <c r="AI54" s="16"/>
      <c r="AJ54" s="16"/>
    </row>
    <row r="5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6"/>
      <c r="Z55" s="15"/>
      <c r="AA55" s="15"/>
      <c r="AB55" s="15"/>
      <c r="AC55" s="15"/>
      <c r="AD55" s="16"/>
      <c r="AE55" s="16"/>
      <c r="AF55" s="16"/>
      <c r="AG55" s="15"/>
      <c r="AH55" s="16"/>
      <c r="AI55" s="16"/>
      <c r="AJ55" s="16"/>
    </row>
    <row r="56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6"/>
      <c r="Z56" s="15"/>
      <c r="AA56" s="15"/>
      <c r="AB56" s="15"/>
      <c r="AC56" s="15"/>
      <c r="AD56" s="16"/>
      <c r="AE56" s="16"/>
      <c r="AF56" s="16"/>
      <c r="AG56" s="15"/>
      <c r="AH56" s="16"/>
      <c r="AI56" s="16"/>
      <c r="AJ56" s="16"/>
    </row>
    <row r="57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6"/>
      <c r="Z57" s="15"/>
      <c r="AA57" s="15"/>
      <c r="AB57" s="15"/>
      <c r="AC57" s="15"/>
      <c r="AD57" s="16"/>
      <c r="AE57" s="16"/>
      <c r="AF57" s="16"/>
      <c r="AG57" s="15"/>
      <c r="AH57" s="16"/>
      <c r="AI57" s="16"/>
      <c r="AJ57" s="16"/>
    </row>
    <row r="58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6"/>
      <c r="Z58" s="15"/>
      <c r="AA58" s="15"/>
      <c r="AB58" s="15"/>
      <c r="AC58" s="15"/>
      <c r="AD58" s="16"/>
      <c r="AE58" s="16"/>
      <c r="AF58" s="16"/>
      <c r="AG58" s="15"/>
      <c r="AH58" s="16"/>
      <c r="AI58" s="16"/>
      <c r="AJ58" s="16"/>
    </row>
    <row r="59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6"/>
      <c r="Z59" s="15"/>
      <c r="AA59" s="15"/>
      <c r="AB59" s="15"/>
      <c r="AC59" s="15"/>
      <c r="AD59" s="16"/>
      <c r="AE59" s="16"/>
      <c r="AF59" s="16"/>
      <c r="AG59" s="15"/>
      <c r="AH59" s="16"/>
      <c r="AI59" s="16"/>
      <c r="AJ59" s="16"/>
    </row>
    <row r="60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6"/>
      <c r="Z60" s="15"/>
      <c r="AA60" s="15"/>
      <c r="AB60" s="15"/>
      <c r="AC60" s="15"/>
      <c r="AD60" s="16"/>
      <c r="AE60" s="16"/>
      <c r="AF60" s="16"/>
      <c r="AG60" s="15"/>
      <c r="AH60" s="16"/>
      <c r="AI60" s="16"/>
      <c r="AJ60" s="16"/>
    </row>
    <row r="6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6"/>
      <c r="Z61" s="15"/>
      <c r="AA61" s="15"/>
      <c r="AB61" s="15"/>
      <c r="AC61" s="15"/>
      <c r="AD61" s="16"/>
      <c r="AE61" s="16"/>
      <c r="AF61" s="16"/>
      <c r="AG61" s="15"/>
      <c r="AH61" s="16"/>
      <c r="AI61" s="16"/>
      <c r="AJ61" s="16"/>
    </row>
    <row r="6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6"/>
      <c r="Z62" s="15"/>
      <c r="AA62" s="15"/>
      <c r="AB62" s="15"/>
      <c r="AC62" s="15"/>
      <c r="AD62" s="16"/>
      <c r="AE62" s="16"/>
      <c r="AF62" s="16"/>
      <c r="AG62" s="15"/>
      <c r="AH62" s="16"/>
      <c r="AI62" s="16"/>
      <c r="AJ62" s="16"/>
    </row>
    <row r="6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6"/>
      <c r="Z63" s="15"/>
      <c r="AA63" s="15"/>
      <c r="AB63" s="15"/>
      <c r="AC63" s="15"/>
      <c r="AD63" s="16"/>
      <c r="AE63" s="16"/>
      <c r="AF63" s="16"/>
      <c r="AG63" s="15"/>
      <c r="AH63" s="16"/>
      <c r="AI63" s="16"/>
      <c r="AJ63" s="16"/>
    </row>
    <row r="64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6"/>
      <c r="Z64" s="15"/>
      <c r="AA64" s="15"/>
      <c r="AB64" s="15"/>
      <c r="AC64" s="15"/>
      <c r="AD64" s="16"/>
      <c r="AE64" s="16"/>
      <c r="AF64" s="16"/>
      <c r="AG64" s="15"/>
      <c r="AH64" s="16"/>
      <c r="AI64" s="16"/>
      <c r="AJ64" s="16"/>
    </row>
    <row r="6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6"/>
      <c r="Z65" s="15"/>
      <c r="AA65" s="15"/>
      <c r="AB65" s="15"/>
      <c r="AC65" s="15"/>
      <c r="AD65" s="16"/>
      <c r="AE65" s="16"/>
      <c r="AF65" s="16"/>
      <c r="AG65" s="15"/>
      <c r="AH65" s="16"/>
      <c r="AI65" s="16"/>
      <c r="AJ65" s="16"/>
    </row>
    <row r="66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6"/>
      <c r="Z66" s="15"/>
      <c r="AA66" s="15"/>
      <c r="AB66" s="15"/>
      <c r="AC66" s="15"/>
      <c r="AD66" s="16"/>
      <c r="AE66" s="16"/>
      <c r="AF66" s="16"/>
      <c r="AG66" s="15"/>
      <c r="AH66" s="16"/>
      <c r="AI66" s="16"/>
      <c r="AJ66" s="16"/>
    </row>
    <row r="67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6"/>
      <c r="Z67" s="15"/>
      <c r="AA67" s="15"/>
      <c r="AB67" s="15"/>
      <c r="AC67" s="15"/>
      <c r="AD67" s="16"/>
      <c r="AE67" s="16"/>
      <c r="AF67" s="16"/>
      <c r="AG67" s="15"/>
      <c r="AH67" s="16"/>
      <c r="AI67" s="16"/>
      <c r="AJ67" s="16"/>
    </row>
    <row r="68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6"/>
      <c r="Z68" s="15"/>
      <c r="AA68" s="15"/>
      <c r="AB68" s="15"/>
      <c r="AC68" s="15"/>
      <c r="AD68" s="16"/>
      <c r="AE68" s="16"/>
      <c r="AF68" s="16"/>
      <c r="AG68" s="15"/>
      <c r="AH68" s="16"/>
      <c r="AI68" s="16"/>
      <c r="AJ68" s="16"/>
    </row>
    <row r="69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6"/>
      <c r="Z69" s="15"/>
      <c r="AA69" s="15"/>
      <c r="AB69" s="15"/>
      <c r="AC69" s="15"/>
      <c r="AD69" s="16"/>
      <c r="AE69" s="16"/>
      <c r="AF69" s="16"/>
      <c r="AG69" s="15"/>
      <c r="AH69" s="16"/>
      <c r="AI69" s="16"/>
      <c r="AJ69" s="16"/>
    </row>
    <row r="70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6"/>
      <c r="Z70" s="15"/>
      <c r="AA70" s="15"/>
      <c r="AB70" s="15"/>
      <c r="AC70" s="15"/>
      <c r="AD70" s="16"/>
      <c r="AE70" s="16"/>
      <c r="AF70" s="16"/>
      <c r="AG70" s="15"/>
      <c r="AH70" s="16"/>
      <c r="AI70" s="16"/>
      <c r="AJ70" s="16"/>
    </row>
    <row r="71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6"/>
      <c r="Z71" s="15"/>
      <c r="AA71" s="15"/>
      <c r="AB71" s="15"/>
      <c r="AC71" s="15"/>
      <c r="AD71" s="16"/>
      <c r="AE71" s="16"/>
      <c r="AF71" s="16"/>
      <c r="AG71" s="15"/>
      <c r="AH71" s="16"/>
      <c r="AI71" s="16"/>
      <c r="AJ71" s="16"/>
    </row>
    <row r="7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6"/>
      <c r="Z72" s="15"/>
      <c r="AA72" s="15"/>
      <c r="AB72" s="15"/>
      <c r="AC72" s="15"/>
      <c r="AD72" s="16"/>
      <c r="AE72" s="16"/>
      <c r="AF72" s="16"/>
      <c r="AG72" s="15"/>
      <c r="AH72" s="16"/>
      <c r="AI72" s="16"/>
      <c r="AJ72" s="16"/>
    </row>
    <row r="7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6"/>
      <c r="Z73" s="15"/>
      <c r="AA73" s="15"/>
      <c r="AB73" s="15"/>
      <c r="AC73" s="15"/>
      <c r="AD73" s="16"/>
      <c r="AE73" s="16"/>
      <c r="AF73" s="16"/>
      <c r="AG73" s="15"/>
      <c r="AH73" s="16"/>
      <c r="AI73" s="16"/>
      <c r="AJ73" s="16"/>
    </row>
    <row r="74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6"/>
      <c r="Z74" s="15"/>
      <c r="AA74" s="15"/>
      <c r="AB74" s="15"/>
      <c r="AC74" s="15"/>
      <c r="AD74" s="16"/>
      <c r="AE74" s="16"/>
      <c r="AF74" s="16"/>
      <c r="AG74" s="15"/>
      <c r="AH74" s="16"/>
      <c r="AI74" s="16"/>
      <c r="AJ74" s="16"/>
    </row>
    <row r="7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6"/>
      <c r="Z75" s="15"/>
      <c r="AA75" s="15"/>
      <c r="AB75" s="15"/>
      <c r="AC75" s="15"/>
      <c r="AD75" s="16"/>
      <c r="AE75" s="16"/>
      <c r="AF75" s="16"/>
      <c r="AG75" s="15"/>
      <c r="AH75" s="16"/>
      <c r="AI75" s="16"/>
      <c r="AJ75" s="16"/>
    </row>
    <row r="76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6"/>
      <c r="Z76" s="15"/>
      <c r="AA76" s="15"/>
      <c r="AB76" s="15"/>
      <c r="AC76" s="15"/>
      <c r="AD76" s="16"/>
      <c r="AE76" s="16"/>
      <c r="AF76" s="16"/>
      <c r="AG76" s="15"/>
      <c r="AH76" s="16"/>
      <c r="AI76" s="16"/>
      <c r="AJ76" s="16"/>
    </row>
    <row r="77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6"/>
      <c r="Z77" s="15"/>
      <c r="AA77" s="15"/>
      <c r="AB77" s="15"/>
      <c r="AC77" s="15"/>
      <c r="AD77" s="16"/>
      <c r="AE77" s="16"/>
      <c r="AF77" s="16"/>
      <c r="AG77" s="15"/>
      <c r="AH77" s="16"/>
      <c r="AI77" s="16"/>
      <c r="AJ77" s="16"/>
    </row>
    <row r="78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6"/>
      <c r="Z78" s="15"/>
      <c r="AA78" s="15"/>
      <c r="AB78" s="15"/>
      <c r="AC78" s="15"/>
      <c r="AD78" s="16"/>
      <c r="AE78" s="16"/>
      <c r="AF78" s="16"/>
      <c r="AG78" s="15"/>
      <c r="AH78" s="16"/>
      <c r="AI78" s="16"/>
      <c r="AJ78" s="16"/>
    </row>
    <row r="79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6"/>
      <c r="Z79" s="15"/>
      <c r="AA79" s="15"/>
      <c r="AB79" s="15"/>
      <c r="AC79" s="15"/>
      <c r="AD79" s="16"/>
      <c r="AE79" s="16"/>
      <c r="AF79" s="16"/>
      <c r="AG79" s="15"/>
      <c r="AH79" s="16"/>
      <c r="AI79" s="16"/>
      <c r="AJ79" s="16"/>
    </row>
    <row r="80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6"/>
      <c r="Z80" s="15"/>
      <c r="AA80" s="15"/>
      <c r="AB80" s="15"/>
      <c r="AC80" s="15"/>
      <c r="AD80" s="16"/>
      <c r="AE80" s="16"/>
      <c r="AF80" s="16"/>
      <c r="AG80" s="15"/>
      <c r="AH80" s="16"/>
      <c r="AI80" s="16"/>
      <c r="AJ80" s="16"/>
    </row>
    <row r="81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6"/>
      <c r="Z81" s="15"/>
      <c r="AA81" s="15"/>
      <c r="AB81" s="15"/>
      <c r="AC81" s="15"/>
      <c r="AD81" s="16"/>
      <c r="AE81" s="16"/>
      <c r="AF81" s="16"/>
      <c r="AG81" s="15"/>
      <c r="AH81" s="16"/>
      <c r="AI81" s="16"/>
      <c r="AJ81" s="16"/>
    </row>
    <row r="82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6"/>
      <c r="Z82" s="15"/>
      <c r="AA82" s="15"/>
      <c r="AB82" s="15"/>
      <c r="AC82" s="15"/>
      <c r="AD82" s="16"/>
      <c r="AE82" s="16"/>
      <c r="AF82" s="16"/>
      <c r="AG82" s="15"/>
      <c r="AH82" s="16"/>
      <c r="AI82" s="16"/>
      <c r="AJ82" s="16"/>
    </row>
    <row r="8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6"/>
      <c r="Z83" s="15"/>
      <c r="AA83" s="15"/>
      <c r="AB83" s="15"/>
      <c r="AC83" s="15"/>
      <c r="AD83" s="16"/>
      <c r="AE83" s="16"/>
      <c r="AF83" s="16"/>
      <c r="AG83" s="15"/>
      <c r="AH83" s="16"/>
      <c r="AI83" s="16"/>
      <c r="AJ83" s="16"/>
    </row>
    <row r="84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6"/>
      <c r="Z84" s="15"/>
      <c r="AA84" s="15"/>
      <c r="AB84" s="15"/>
      <c r="AC84" s="15"/>
      <c r="AD84" s="16"/>
      <c r="AE84" s="16"/>
      <c r="AF84" s="16"/>
      <c r="AG84" s="15"/>
      <c r="AH84" s="16"/>
      <c r="AI84" s="16"/>
      <c r="AJ84" s="16"/>
    </row>
    <row r="8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6"/>
      <c r="Z85" s="15"/>
      <c r="AA85" s="15"/>
      <c r="AB85" s="15"/>
      <c r="AC85" s="15"/>
      <c r="AD85" s="16"/>
      <c r="AE85" s="16"/>
      <c r="AF85" s="16"/>
      <c r="AG85" s="15"/>
      <c r="AH85" s="16"/>
      <c r="AI85" s="16"/>
      <c r="AJ85" s="16"/>
    </row>
    <row r="86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6"/>
      <c r="Z86" s="15"/>
      <c r="AA86" s="15"/>
      <c r="AB86" s="15"/>
      <c r="AC86" s="15"/>
      <c r="AD86" s="16"/>
      <c r="AE86" s="16"/>
      <c r="AF86" s="16"/>
      <c r="AG86" s="15"/>
      <c r="AH86" s="16"/>
      <c r="AI86" s="16"/>
      <c r="AJ86" s="16"/>
    </row>
    <row r="87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6"/>
      <c r="Z87" s="15"/>
      <c r="AA87" s="15"/>
      <c r="AB87" s="15"/>
      <c r="AC87" s="15"/>
      <c r="AD87" s="16"/>
      <c r="AE87" s="16"/>
      <c r="AF87" s="16"/>
      <c r="AG87" s="15"/>
      <c r="AH87" s="16"/>
      <c r="AI87" s="16"/>
      <c r="AJ87" s="16"/>
    </row>
    <row r="88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6"/>
      <c r="Z88" s="15"/>
      <c r="AA88" s="15"/>
      <c r="AB88" s="15"/>
      <c r="AC88" s="15"/>
      <c r="AD88" s="16"/>
      <c r="AE88" s="16"/>
      <c r="AF88" s="16"/>
      <c r="AG88" s="15"/>
      <c r="AH88" s="16"/>
      <c r="AI88" s="16"/>
      <c r="AJ88" s="16"/>
    </row>
    <row r="89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6"/>
      <c r="Z89" s="15"/>
      <c r="AA89" s="15"/>
      <c r="AB89" s="15"/>
      <c r="AC89" s="15"/>
      <c r="AD89" s="16"/>
      <c r="AE89" s="16"/>
      <c r="AF89" s="16"/>
      <c r="AG89" s="15"/>
      <c r="AH89" s="16"/>
      <c r="AI89" s="16"/>
      <c r="AJ89" s="16"/>
    </row>
    <row r="90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6"/>
      <c r="Z90" s="15"/>
      <c r="AA90" s="15"/>
      <c r="AB90" s="15"/>
      <c r="AC90" s="15"/>
      <c r="AD90" s="16"/>
      <c r="AE90" s="16"/>
      <c r="AF90" s="16"/>
      <c r="AG90" s="15"/>
      <c r="AH90" s="16"/>
      <c r="AI90" s="16"/>
      <c r="AJ90" s="16"/>
    </row>
    <row r="91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6"/>
      <c r="Z91" s="15"/>
      <c r="AA91" s="15"/>
      <c r="AB91" s="15"/>
      <c r="AC91" s="15"/>
      <c r="AD91" s="16"/>
      <c r="AE91" s="16"/>
      <c r="AF91" s="16"/>
      <c r="AG91" s="15"/>
      <c r="AH91" s="16"/>
      <c r="AI91" s="16"/>
      <c r="AJ91" s="16"/>
    </row>
    <row r="92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6"/>
      <c r="Z92" s="15"/>
      <c r="AA92" s="15"/>
      <c r="AB92" s="15"/>
      <c r="AC92" s="15"/>
      <c r="AD92" s="16"/>
      <c r="AE92" s="16"/>
      <c r="AF92" s="16"/>
      <c r="AG92" s="15"/>
      <c r="AH92" s="16"/>
      <c r="AI92" s="16"/>
      <c r="AJ92" s="16"/>
    </row>
    <row r="9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6"/>
      <c r="Z93" s="15"/>
      <c r="AA93" s="15"/>
      <c r="AB93" s="15"/>
      <c r="AC93" s="15"/>
      <c r="AD93" s="16"/>
      <c r="AE93" s="16"/>
      <c r="AF93" s="16"/>
      <c r="AG93" s="15"/>
      <c r="AH93" s="16"/>
      <c r="AI93" s="16"/>
      <c r="AJ93" s="16"/>
    </row>
    <row r="94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6"/>
      <c r="Z94" s="15"/>
      <c r="AA94" s="15"/>
      <c r="AB94" s="15"/>
      <c r="AC94" s="15"/>
      <c r="AD94" s="16"/>
      <c r="AE94" s="16"/>
      <c r="AF94" s="16"/>
      <c r="AG94" s="15"/>
      <c r="AH94" s="16"/>
      <c r="AI94" s="16"/>
      <c r="AJ94" s="16"/>
    </row>
    <row r="9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6"/>
      <c r="Z95" s="15"/>
      <c r="AA95" s="15"/>
      <c r="AB95" s="15"/>
      <c r="AC95" s="15"/>
      <c r="AD95" s="16"/>
      <c r="AE95" s="16"/>
      <c r="AF95" s="16"/>
      <c r="AG95" s="15"/>
      <c r="AH95" s="16"/>
      <c r="AI95" s="16"/>
      <c r="AJ95" s="16"/>
    </row>
    <row r="96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6"/>
      <c r="Z96" s="15"/>
      <c r="AA96" s="15"/>
      <c r="AB96" s="15"/>
      <c r="AC96" s="15"/>
      <c r="AD96" s="16"/>
      <c r="AE96" s="16"/>
      <c r="AF96" s="16"/>
      <c r="AG96" s="15"/>
      <c r="AH96" s="16"/>
      <c r="AI96" s="16"/>
      <c r="AJ96" s="16"/>
    </row>
    <row r="97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6"/>
      <c r="Z97" s="15"/>
      <c r="AA97" s="15"/>
      <c r="AB97" s="15"/>
      <c r="AC97" s="15"/>
      <c r="AD97" s="16"/>
      <c r="AE97" s="16"/>
      <c r="AF97" s="16"/>
      <c r="AG97" s="15"/>
      <c r="AH97" s="16"/>
      <c r="AI97" s="16"/>
      <c r="AJ97" s="16"/>
    </row>
    <row r="98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6"/>
      <c r="Z98" s="15"/>
      <c r="AA98" s="15"/>
      <c r="AB98" s="15"/>
      <c r="AC98" s="15"/>
      <c r="AD98" s="16"/>
      <c r="AE98" s="16"/>
      <c r="AF98" s="16"/>
      <c r="AG98" s="15"/>
      <c r="AH98" s="16"/>
      <c r="AI98" s="16"/>
      <c r="AJ98" s="16"/>
    </row>
    <row r="99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6"/>
      <c r="Z99" s="15"/>
      <c r="AA99" s="15"/>
      <c r="AB99" s="15"/>
      <c r="AC99" s="15"/>
      <c r="AD99" s="16"/>
      <c r="AE99" s="16"/>
      <c r="AF99" s="16"/>
      <c r="AG99" s="15"/>
      <c r="AH99" s="16"/>
      <c r="AI99" s="16"/>
      <c r="AJ99" s="16"/>
    </row>
    <row r="100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6"/>
      <c r="Z100" s="15"/>
      <c r="AA100" s="15"/>
      <c r="AB100" s="15"/>
      <c r="AC100" s="15"/>
      <c r="AD100" s="16"/>
      <c r="AE100" s="16"/>
      <c r="AF100" s="16"/>
      <c r="AG100" s="15"/>
      <c r="AH100" s="16"/>
      <c r="AI100" s="16"/>
      <c r="AJ100" s="16"/>
    </row>
  </sheetData>
  <mergeCells count="2">
    <mergeCell ref="A1:AJ1"/>
    <mergeCell ref="B34:F34"/>
  </mergeCells>
  <drawing r:id="rId1"/>
</worksheet>
</file>