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_FPT_UNI_\Ki_4\jup\"/>
    </mc:Choice>
  </mc:AlternateContent>
  <xr:revisionPtr revIDLastSave="0" documentId="13_ncr:1_{E356570A-250E-4A5F-B447-6637348568A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Dữ liệu mới" sheetId="1" r:id="rId1"/>
    <sheet name="Fi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F41" i="2"/>
  <c r="AC32" i="2"/>
  <c r="Y32" i="2"/>
  <c r="S32" i="2"/>
  <c r="Q32" i="2"/>
  <c r="M32" i="2"/>
  <c r="N32" i="2" s="1"/>
  <c r="L32" i="2"/>
  <c r="K32" i="2"/>
  <c r="H32" i="2"/>
  <c r="J32" i="2" s="1"/>
  <c r="AC31" i="2"/>
  <c r="Y31" i="2"/>
  <c r="S31" i="2"/>
  <c r="Q31" i="2"/>
  <c r="M31" i="2"/>
  <c r="N31" i="2" s="1"/>
  <c r="L31" i="2"/>
  <c r="K31" i="2"/>
  <c r="H31" i="2"/>
  <c r="J31" i="2" s="1"/>
  <c r="AC30" i="2"/>
  <c r="Y30" i="2"/>
  <c r="S30" i="2"/>
  <c r="Q30" i="2"/>
  <c r="M30" i="2"/>
  <c r="N30" i="2" s="1"/>
  <c r="L30" i="2"/>
  <c r="K30" i="2"/>
  <c r="H30" i="2"/>
  <c r="J30" i="2" s="1"/>
  <c r="AC29" i="2"/>
  <c r="Y29" i="2"/>
  <c r="S29" i="2"/>
  <c r="Q29" i="2"/>
  <c r="M29" i="2"/>
  <c r="N29" i="2" s="1"/>
  <c r="L29" i="2"/>
  <c r="K29" i="2"/>
  <c r="H29" i="2"/>
  <c r="J29" i="2" s="1"/>
  <c r="AC28" i="2"/>
  <c r="Y28" i="2"/>
  <c r="S28" i="2"/>
  <c r="Q28" i="2"/>
  <c r="M28" i="2"/>
  <c r="N28" i="2" s="1"/>
  <c r="L28" i="2"/>
  <c r="K28" i="2"/>
  <c r="H28" i="2"/>
  <c r="J28" i="2" s="1"/>
  <c r="AC27" i="2"/>
  <c r="Y27" i="2"/>
  <c r="R27" i="2"/>
  <c r="Q27" i="2"/>
  <c r="M27" i="2"/>
  <c r="N27" i="2" s="1"/>
  <c r="L27" i="2"/>
  <c r="K27" i="2"/>
  <c r="H27" i="2"/>
  <c r="J27" i="2" s="1"/>
  <c r="AC26" i="2"/>
  <c r="Y26" i="2"/>
  <c r="S26" i="2"/>
  <c r="Q26" i="2"/>
  <c r="M26" i="2"/>
  <c r="N26" i="2" s="1"/>
  <c r="L26" i="2"/>
  <c r="K26" i="2"/>
  <c r="H26" i="2"/>
  <c r="J26" i="2" s="1"/>
  <c r="AC25" i="2"/>
  <c r="Y25" i="2"/>
  <c r="S25" i="2"/>
  <c r="Q25" i="2"/>
  <c r="M25" i="2"/>
  <c r="N25" i="2" s="1"/>
  <c r="L25" i="2"/>
  <c r="K25" i="2"/>
  <c r="H25" i="2"/>
  <c r="J25" i="2" s="1"/>
  <c r="AC24" i="2"/>
  <c r="Y24" i="2"/>
  <c r="S24" i="2"/>
  <c r="Q24" i="2"/>
  <c r="M24" i="2"/>
  <c r="N24" i="2" s="1"/>
  <c r="L24" i="2"/>
  <c r="K24" i="2"/>
  <c r="H24" i="2"/>
  <c r="J24" i="2" s="1"/>
  <c r="AC23" i="2"/>
  <c r="Y23" i="2"/>
  <c r="S23" i="2"/>
  <c r="Q23" i="2"/>
  <c r="M23" i="2"/>
  <c r="N23" i="2" s="1"/>
  <c r="L23" i="2"/>
  <c r="K23" i="2"/>
  <c r="H23" i="2"/>
  <c r="J23" i="2" s="1"/>
  <c r="AC22" i="2"/>
  <c r="Y22" i="2"/>
  <c r="S22" i="2"/>
  <c r="Q22" i="2"/>
  <c r="M22" i="2"/>
  <c r="N22" i="2" s="1"/>
  <c r="L22" i="2"/>
  <c r="K22" i="2"/>
  <c r="H22" i="2"/>
  <c r="J22" i="2" s="1"/>
  <c r="AC21" i="2"/>
  <c r="Y21" i="2"/>
  <c r="S21" i="2"/>
  <c r="Q21" i="2"/>
  <c r="M21" i="2"/>
  <c r="N21" i="2" s="1"/>
  <c r="L21" i="2"/>
  <c r="K21" i="2"/>
  <c r="H21" i="2"/>
  <c r="J21" i="2" s="1"/>
  <c r="AC20" i="2"/>
  <c r="Y20" i="2"/>
  <c r="S20" i="2"/>
  <c r="Q20" i="2"/>
  <c r="M20" i="2"/>
  <c r="N20" i="2" s="1"/>
  <c r="L20" i="2"/>
  <c r="K20" i="2"/>
  <c r="H20" i="2"/>
  <c r="J20" i="2" s="1"/>
  <c r="AC19" i="2"/>
  <c r="Y19" i="2"/>
  <c r="S19" i="2"/>
  <c r="Q19" i="2"/>
  <c r="M19" i="2"/>
  <c r="N19" i="2" s="1"/>
  <c r="L19" i="2"/>
  <c r="K19" i="2"/>
  <c r="H19" i="2"/>
  <c r="J19" i="2" s="1"/>
  <c r="AC18" i="2"/>
  <c r="Y18" i="2"/>
  <c r="R18" i="2"/>
  <c r="Q18" i="2"/>
  <c r="M18" i="2"/>
  <c r="N18" i="2" s="1"/>
  <c r="L18" i="2"/>
  <c r="K18" i="2"/>
  <c r="H18" i="2"/>
  <c r="J18" i="2" s="1"/>
  <c r="AC17" i="2"/>
  <c r="Y17" i="2"/>
  <c r="S17" i="2"/>
  <c r="Q17" i="2"/>
  <c r="M17" i="2"/>
  <c r="N17" i="2" s="1"/>
  <c r="L17" i="2"/>
  <c r="K17" i="2"/>
  <c r="H17" i="2"/>
  <c r="J17" i="2" s="1"/>
  <c r="AC16" i="2"/>
  <c r="Y16" i="2"/>
  <c r="S16" i="2"/>
  <c r="Q16" i="2"/>
  <c r="M16" i="2"/>
  <c r="N16" i="2" s="1"/>
  <c r="L16" i="2"/>
  <c r="K16" i="2"/>
  <c r="H16" i="2"/>
  <c r="J16" i="2" s="1"/>
  <c r="AC15" i="2"/>
  <c r="Y15" i="2"/>
  <c r="S15" i="2"/>
  <c r="Q15" i="2"/>
  <c r="M15" i="2"/>
  <c r="N15" i="2" s="1"/>
  <c r="L15" i="2"/>
  <c r="K15" i="2"/>
  <c r="H15" i="2"/>
  <c r="J15" i="2" s="1"/>
  <c r="AC14" i="2"/>
  <c r="Y14" i="2"/>
  <c r="S14" i="2"/>
  <c r="Q14" i="2"/>
  <c r="M14" i="2"/>
  <c r="N14" i="2" s="1"/>
  <c r="L14" i="2"/>
  <c r="K14" i="2"/>
  <c r="H14" i="2"/>
  <c r="J14" i="2" s="1"/>
  <c r="AC13" i="2"/>
  <c r="Y13" i="2"/>
  <c r="S13" i="2"/>
  <c r="Q13" i="2"/>
  <c r="M13" i="2"/>
  <c r="N13" i="2" s="1"/>
  <c r="L13" i="2"/>
  <c r="K13" i="2"/>
  <c r="H13" i="2"/>
  <c r="J13" i="2" s="1"/>
  <c r="AC12" i="2"/>
  <c r="Y12" i="2"/>
  <c r="S12" i="2"/>
  <c r="Q12" i="2"/>
  <c r="M12" i="2"/>
  <c r="N12" i="2" s="1"/>
  <c r="L12" i="2"/>
  <c r="K12" i="2"/>
  <c r="H12" i="2"/>
  <c r="J12" i="2" s="1"/>
  <c r="AC11" i="2"/>
  <c r="Y11" i="2"/>
  <c r="S11" i="2"/>
  <c r="Q11" i="2"/>
  <c r="M11" i="2"/>
  <c r="N11" i="2" s="1"/>
  <c r="L11" i="2"/>
  <c r="K11" i="2"/>
  <c r="H11" i="2"/>
  <c r="J11" i="2" s="1"/>
  <c r="AC10" i="2"/>
  <c r="Y10" i="2"/>
  <c r="S10" i="2"/>
  <c r="Q10" i="2"/>
  <c r="M10" i="2"/>
  <c r="N10" i="2" s="1"/>
  <c r="L10" i="2"/>
  <c r="K10" i="2"/>
  <c r="H10" i="2"/>
  <c r="J10" i="2" s="1"/>
  <c r="AC9" i="2"/>
  <c r="Y9" i="2"/>
  <c r="S9" i="2"/>
  <c r="Q9" i="2"/>
  <c r="M9" i="2"/>
  <c r="N9" i="2" s="1"/>
  <c r="L9" i="2"/>
  <c r="K9" i="2"/>
  <c r="H9" i="2"/>
  <c r="J9" i="2" s="1"/>
  <c r="AC8" i="2"/>
  <c r="Y8" i="2"/>
  <c r="S8" i="2"/>
  <c r="Q8" i="2"/>
  <c r="M8" i="2"/>
  <c r="N8" i="2" s="1"/>
  <c r="L8" i="2"/>
  <c r="K8" i="2"/>
  <c r="H8" i="2"/>
  <c r="J8" i="2" s="1"/>
  <c r="AC7" i="2"/>
  <c r="Y7" i="2"/>
  <c r="S7" i="2"/>
  <c r="Q7" i="2"/>
  <c r="M7" i="2"/>
  <c r="N7" i="2" s="1"/>
  <c r="L7" i="2"/>
  <c r="K7" i="2"/>
  <c r="H7" i="2"/>
  <c r="J7" i="2" s="1"/>
  <c r="AC6" i="2"/>
  <c r="Y6" i="2"/>
  <c r="S6" i="2"/>
  <c r="Q6" i="2"/>
  <c r="M6" i="2"/>
  <c r="N6" i="2" s="1"/>
  <c r="L6" i="2"/>
  <c r="K6" i="2"/>
  <c r="H6" i="2"/>
  <c r="J6" i="2" s="1"/>
  <c r="AF5" i="2"/>
  <c r="AE5" i="2"/>
  <c r="AD5" i="2"/>
  <c r="AC5" i="2"/>
  <c r="Y5" i="2"/>
  <c r="S5" i="2"/>
  <c r="Q5" i="2"/>
  <c r="M5" i="2"/>
  <c r="N5" i="2" s="1"/>
  <c r="L5" i="2"/>
  <c r="K5" i="2"/>
  <c r="J5" i="2"/>
  <c r="H5" i="2"/>
  <c r="AE4" i="2"/>
  <c r="AD4" i="2"/>
  <c r="AC4" i="2"/>
  <c r="Y4" i="2"/>
  <c r="S4" i="2"/>
  <c r="Q4" i="2"/>
  <c r="P4" i="2"/>
  <c r="R4" i="2" s="1"/>
  <c r="M4" i="2"/>
  <c r="N4" i="2" s="1"/>
  <c r="O4" i="2" s="1"/>
  <c r="L4" i="2"/>
  <c r="K4" i="2"/>
  <c r="H4" i="2"/>
  <c r="J4" i="2" s="1"/>
  <c r="AE3" i="2"/>
  <c r="AD3" i="2"/>
  <c r="AF3" i="2" s="1"/>
  <c r="AC3" i="2"/>
  <c r="Y3" i="2"/>
  <c r="S3" i="2"/>
  <c r="Q3" i="2"/>
  <c r="O3" i="2"/>
  <c r="N3" i="2"/>
  <c r="M3" i="2"/>
  <c r="L3" i="2"/>
  <c r="K3" i="2"/>
  <c r="H3" i="2"/>
  <c r="J3" i="2" s="1"/>
  <c r="AC32" i="1"/>
  <c r="Y32" i="1"/>
  <c r="S32" i="1"/>
  <c r="Q32" i="1"/>
  <c r="P32" i="1"/>
  <c r="R32" i="1" s="1"/>
  <c r="O32" i="1"/>
  <c r="N32" i="1"/>
  <c r="M32" i="1"/>
  <c r="L32" i="1"/>
  <c r="K32" i="1"/>
  <c r="H32" i="1"/>
  <c r="J32" i="1" s="1"/>
  <c r="AC31" i="1"/>
  <c r="Y31" i="1"/>
  <c r="S31" i="1"/>
  <c r="Q31" i="1"/>
  <c r="P31" i="1"/>
  <c r="R31" i="1" s="1"/>
  <c r="M31" i="1"/>
  <c r="L31" i="1"/>
  <c r="N31" i="1" s="1"/>
  <c r="O31" i="1" s="1"/>
  <c r="K31" i="1"/>
  <c r="H31" i="1"/>
  <c r="J31" i="1" s="1"/>
  <c r="AG30" i="1"/>
  <c r="AC30" i="1"/>
  <c r="Y30" i="1"/>
  <c r="S30" i="1"/>
  <c r="Q30" i="1"/>
  <c r="N30" i="1"/>
  <c r="P30" i="1" s="1"/>
  <c r="R30" i="1" s="1"/>
  <c r="M30" i="1"/>
  <c r="L30" i="1"/>
  <c r="K30" i="1"/>
  <c r="H30" i="1"/>
  <c r="J30" i="1" s="1"/>
  <c r="AC29" i="1"/>
  <c r="AA29" i="1"/>
  <c r="Y29" i="1"/>
  <c r="S29" i="1"/>
  <c r="Q29" i="1"/>
  <c r="P29" i="1"/>
  <c r="R29" i="1" s="1"/>
  <c r="M29" i="1"/>
  <c r="L29" i="1"/>
  <c r="N29" i="1" s="1"/>
  <c r="O29" i="1" s="1"/>
  <c r="K29" i="1"/>
  <c r="H29" i="1"/>
  <c r="J29" i="1" s="1"/>
  <c r="AB29" i="1" s="1"/>
  <c r="AC28" i="1"/>
  <c r="Y28" i="1"/>
  <c r="S28" i="1"/>
  <c r="Q28" i="1"/>
  <c r="O28" i="1"/>
  <c r="N28" i="1"/>
  <c r="P28" i="1" s="1"/>
  <c r="R28" i="1" s="1"/>
  <c r="M28" i="1"/>
  <c r="L28" i="1"/>
  <c r="K28" i="1"/>
  <c r="H28" i="1"/>
  <c r="J28" i="1" s="1"/>
  <c r="AC27" i="1"/>
  <c r="AB27" i="1"/>
  <c r="AA27" i="1"/>
  <c r="Y27" i="1"/>
  <c r="R27" i="1"/>
  <c r="Q27" i="1"/>
  <c r="M27" i="1"/>
  <c r="L27" i="1"/>
  <c r="N27" i="1" s="1"/>
  <c r="O27" i="1" s="1"/>
  <c r="K27" i="1"/>
  <c r="H27" i="1"/>
  <c r="J27" i="1" s="1"/>
  <c r="AC26" i="1"/>
  <c r="Y26" i="1"/>
  <c r="S26" i="1"/>
  <c r="Q26" i="1"/>
  <c r="P26" i="1"/>
  <c r="R26" i="1" s="1"/>
  <c r="O26" i="1"/>
  <c r="N26" i="1"/>
  <c r="M26" i="1"/>
  <c r="L26" i="1"/>
  <c r="K26" i="1"/>
  <c r="H26" i="1"/>
  <c r="J26" i="1" s="1"/>
  <c r="AG26" i="1" s="1"/>
  <c r="AC25" i="1"/>
  <c r="Y25" i="1"/>
  <c r="S25" i="1"/>
  <c r="Q25" i="1"/>
  <c r="M25" i="1"/>
  <c r="L25" i="1"/>
  <c r="N25" i="1" s="1"/>
  <c r="O25" i="1" s="1"/>
  <c r="K25" i="1"/>
  <c r="H25" i="1"/>
  <c r="J25" i="1" s="1"/>
  <c r="AC24" i="1"/>
  <c r="Y24" i="1"/>
  <c r="S24" i="1"/>
  <c r="Q24" i="1"/>
  <c r="P24" i="1"/>
  <c r="R24" i="1" s="1"/>
  <c r="O24" i="1"/>
  <c r="N24" i="1"/>
  <c r="M24" i="1"/>
  <c r="L24" i="1"/>
  <c r="K24" i="1"/>
  <c r="H24" i="1"/>
  <c r="J24" i="1" s="1"/>
  <c r="AG24" i="1" s="1"/>
  <c r="AC23" i="1"/>
  <c r="Y23" i="1"/>
  <c r="S23" i="1"/>
  <c r="Q23" i="1"/>
  <c r="P23" i="1"/>
  <c r="R23" i="1" s="1"/>
  <c r="M23" i="1"/>
  <c r="L23" i="1"/>
  <c r="N23" i="1" s="1"/>
  <c r="O23" i="1" s="1"/>
  <c r="K23" i="1"/>
  <c r="H23" i="1"/>
  <c r="J23" i="1" s="1"/>
  <c r="AC22" i="1"/>
  <c r="Y22" i="1"/>
  <c r="S22" i="1"/>
  <c r="Q22" i="1"/>
  <c r="O22" i="1"/>
  <c r="N22" i="1"/>
  <c r="P22" i="1" s="1"/>
  <c r="R22" i="1" s="1"/>
  <c r="M22" i="1"/>
  <c r="L22" i="1"/>
  <c r="K22" i="1"/>
  <c r="H22" i="1"/>
  <c r="J22" i="1" s="1"/>
  <c r="AG22" i="1" s="1"/>
  <c r="AC21" i="1"/>
  <c r="Y21" i="1"/>
  <c r="S21" i="1"/>
  <c r="Q21" i="1"/>
  <c r="M21" i="1"/>
  <c r="L21" i="1"/>
  <c r="N21" i="1" s="1"/>
  <c r="O21" i="1" s="1"/>
  <c r="K21" i="1"/>
  <c r="H21" i="1"/>
  <c r="J21" i="1" s="1"/>
  <c r="AC20" i="1"/>
  <c r="Y20" i="1"/>
  <c r="S20" i="1"/>
  <c r="Q20" i="1"/>
  <c r="M20" i="1"/>
  <c r="L20" i="1"/>
  <c r="N20" i="1" s="1"/>
  <c r="K20" i="1"/>
  <c r="H20" i="1"/>
  <c r="J20" i="1" s="1"/>
  <c r="AA23" i="1" s="1"/>
  <c r="AC19" i="1"/>
  <c r="Y19" i="1"/>
  <c r="S19" i="1"/>
  <c r="Q19" i="1"/>
  <c r="M19" i="1"/>
  <c r="L19" i="1"/>
  <c r="N19" i="1" s="1"/>
  <c r="O19" i="1" s="1"/>
  <c r="K19" i="1"/>
  <c r="H19" i="1"/>
  <c r="J19" i="1" s="1"/>
  <c r="AC18" i="1"/>
  <c r="Y18" i="1"/>
  <c r="R18" i="1"/>
  <c r="Q18" i="1"/>
  <c r="M18" i="1"/>
  <c r="L18" i="1"/>
  <c r="N18" i="1" s="1"/>
  <c r="K18" i="1"/>
  <c r="H18" i="1"/>
  <c r="J18" i="1" s="1"/>
  <c r="AA21" i="1" s="1"/>
  <c r="AC17" i="1"/>
  <c r="Y17" i="1"/>
  <c r="S17" i="1"/>
  <c r="Q17" i="1"/>
  <c r="M17" i="1"/>
  <c r="L17" i="1"/>
  <c r="N17" i="1" s="1"/>
  <c r="O17" i="1" s="1"/>
  <c r="K17" i="1"/>
  <c r="H17" i="1"/>
  <c r="J17" i="1" s="1"/>
  <c r="AC16" i="1"/>
  <c r="Y16" i="1"/>
  <c r="S16" i="1"/>
  <c r="Q16" i="1"/>
  <c r="P16" i="1"/>
  <c r="R16" i="1" s="1"/>
  <c r="O16" i="1"/>
  <c r="T16" i="1" s="1"/>
  <c r="N16" i="1"/>
  <c r="M16" i="1"/>
  <c r="L16" i="1"/>
  <c r="K16" i="1"/>
  <c r="H16" i="1"/>
  <c r="J16" i="1" s="1"/>
  <c r="AC15" i="1"/>
  <c r="Y15" i="1"/>
  <c r="S15" i="1"/>
  <c r="Q15" i="1"/>
  <c r="P15" i="1"/>
  <c r="R15" i="1" s="1"/>
  <c r="M15" i="1"/>
  <c r="L15" i="1"/>
  <c r="N15" i="1" s="1"/>
  <c r="O15" i="1" s="1"/>
  <c r="K15" i="1"/>
  <c r="H15" i="1"/>
  <c r="J15" i="1" s="1"/>
  <c r="AG15" i="1" s="1"/>
  <c r="AC14" i="1"/>
  <c r="Y14" i="1"/>
  <c r="S14" i="1"/>
  <c r="Q14" i="1"/>
  <c r="P14" i="1"/>
  <c r="R14" i="1" s="1"/>
  <c r="N14" i="1"/>
  <c r="O14" i="1" s="1"/>
  <c r="M14" i="1"/>
  <c r="L14" i="1"/>
  <c r="K14" i="1"/>
  <c r="H14" i="1"/>
  <c r="J14" i="1" s="1"/>
  <c r="AA17" i="1" s="1"/>
  <c r="AG13" i="1"/>
  <c r="AC13" i="1"/>
  <c r="Y13" i="1"/>
  <c r="S13" i="1"/>
  <c r="Q13" i="1"/>
  <c r="P13" i="1"/>
  <c r="R13" i="1" s="1"/>
  <c r="M13" i="1"/>
  <c r="L13" i="1"/>
  <c r="N13" i="1" s="1"/>
  <c r="O13" i="1" s="1"/>
  <c r="K13" i="1"/>
  <c r="H13" i="1"/>
  <c r="J13" i="1" s="1"/>
  <c r="AC12" i="1"/>
  <c r="Y12" i="1"/>
  <c r="S12" i="1"/>
  <c r="Q12" i="1"/>
  <c r="M12" i="1"/>
  <c r="L12" i="1"/>
  <c r="N12" i="1" s="1"/>
  <c r="K12" i="1"/>
  <c r="H12" i="1"/>
  <c r="J12" i="1" s="1"/>
  <c r="AA15" i="1" s="1"/>
  <c r="AC11" i="1"/>
  <c r="Y11" i="1"/>
  <c r="S11" i="1"/>
  <c r="Q11" i="1"/>
  <c r="M11" i="1"/>
  <c r="L11" i="1"/>
  <c r="N11" i="1" s="1"/>
  <c r="O11" i="1" s="1"/>
  <c r="K11" i="1"/>
  <c r="H11" i="1"/>
  <c r="AC10" i="1"/>
  <c r="Y10" i="1"/>
  <c r="S10" i="1"/>
  <c r="Q10" i="1"/>
  <c r="M10" i="1"/>
  <c r="L10" i="1"/>
  <c r="N10" i="1" s="1"/>
  <c r="K10" i="1"/>
  <c r="H10" i="1"/>
  <c r="J10" i="1" s="1"/>
  <c r="AC9" i="1"/>
  <c r="Y9" i="1"/>
  <c r="S9" i="1"/>
  <c r="Q9" i="1"/>
  <c r="M9" i="1"/>
  <c r="L9" i="1"/>
  <c r="N9" i="1" s="1"/>
  <c r="O9" i="1" s="1"/>
  <c r="K9" i="1"/>
  <c r="H9" i="1"/>
  <c r="J9" i="1" s="1"/>
  <c r="AC8" i="1"/>
  <c r="Y8" i="1"/>
  <c r="S8" i="1"/>
  <c r="Q8" i="1"/>
  <c r="N8" i="1"/>
  <c r="AG8" i="1" s="1"/>
  <c r="M8" i="1"/>
  <c r="L8" i="1"/>
  <c r="K8" i="1"/>
  <c r="H8" i="1"/>
  <c r="J8" i="1" s="1"/>
  <c r="AA11" i="1" s="1"/>
  <c r="AC7" i="1"/>
  <c r="Y7" i="1"/>
  <c r="S7" i="1"/>
  <c r="Q7" i="1"/>
  <c r="M7" i="1"/>
  <c r="L7" i="1"/>
  <c r="N7" i="1" s="1"/>
  <c r="O7" i="1" s="1"/>
  <c r="K7" i="1"/>
  <c r="H7" i="1"/>
  <c r="J7" i="1" s="1"/>
  <c r="AG7" i="1" s="1"/>
  <c r="AC6" i="1"/>
  <c r="Y6" i="1"/>
  <c r="S6" i="1"/>
  <c r="Q6" i="1"/>
  <c r="N6" i="1"/>
  <c r="AG6" i="1" s="1"/>
  <c r="M6" i="1"/>
  <c r="L6" i="1"/>
  <c r="K6" i="1"/>
  <c r="H6" i="1"/>
  <c r="J6" i="1" s="1"/>
  <c r="AF5" i="1"/>
  <c r="AE5" i="1"/>
  <c r="AD5" i="1"/>
  <c r="AC5" i="1"/>
  <c r="Y5" i="1"/>
  <c r="S5" i="1"/>
  <c r="R5" i="1"/>
  <c r="Q5" i="1"/>
  <c r="N5" i="1"/>
  <c r="P5" i="1" s="1"/>
  <c r="M5" i="1"/>
  <c r="L5" i="1"/>
  <c r="K5" i="1"/>
  <c r="J5" i="1"/>
  <c r="H5" i="1"/>
  <c r="AE4" i="1"/>
  <c r="AD4" i="1"/>
  <c r="AF4" i="1" s="1"/>
  <c r="AC4" i="1"/>
  <c r="Y4" i="1"/>
  <c r="S4" i="1"/>
  <c r="Q4" i="1"/>
  <c r="M4" i="1"/>
  <c r="L4" i="1"/>
  <c r="N4" i="1" s="1"/>
  <c r="O4" i="1" s="1"/>
  <c r="K4" i="1"/>
  <c r="J4" i="1"/>
  <c r="H4" i="1"/>
  <c r="AF3" i="1"/>
  <c r="AE3" i="1"/>
  <c r="AD3" i="1"/>
  <c r="AC3" i="1"/>
  <c r="Y3" i="1"/>
  <c r="S3" i="1"/>
  <c r="Q3" i="1"/>
  <c r="O3" i="1"/>
  <c r="N3" i="1"/>
  <c r="P3" i="1" s="1"/>
  <c r="R3" i="1" s="1"/>
  <c r="M3" i="1"/>
  <c r="L3" i="1"/>
  <c r="K3" i="1"/>
  <c r="J3" i="1"/>
  <c r="AG3" i="1" s="1"/>
  <c r="H3" i="1"/>
  <c r="AE17" i="1" l="1"/>
  <c r="AD17" i="1"/>
  <c r="AF17" i="1" s="1"/>
  <c r="AG10" i="1"/>
  <c r="P10" i="1"/>
  <c r="R10" i="1" s="1"/>
  <c r="O10" i="1"/>
  <c r="AE23" i="1"/>
  <c r="AD23" i="1"/>
  <c r="AI16" i="1"/>
  <c r="U27" i="1"/>
  <c r="AH27" i="1" s="1"/>
  <c r="P12" i="1"/>
  <c r="R12" i="1" s="1"/>
  <c r="O12" i="1"/>
  <c r="AG12" i="1"/>
  <c r="T14" i="1"/>
  <c r="U14" i="1"/>
  <c r="AH14" i="1" s="1"/>
  <c r="O18" i="1"/>
  <c r="P18" i="1"/>
  <c r="S18" i="1" s="1"/>
  <c r="U25" i="1"/>
  <c r="AH25" i="1" s="1"/>
  <c r="AE21" i="1"/>
  <c r="AD21" i="1"/>
  <c r="AG20" i="1"/>
  <c r="P20" i="1"/>
  <c r="R20" i="1" s="1"/>
  <c r="O20" i="1"/>
  <c r="AE15" i="1"/>
  <c r="AD15" i="1"/>
  <c r="AB15" i="1"/>
  <c r="AB17" i="1"/>
  <c r="T15" i="1"/>
  <c r="U15" i="1" s="1"/>
  <c r="AH15" i="1" s="1"/>
  <c r="P17" i="1"/>
  <c r="R17" i="1" s="1"/>
  <c r="U17" i="1" s="1"/>
  <c r="P27" i="1"/>
  <c r="S27" i="1" s="1"/>
  <c r="AA20" i="2"/>
  <c r="AB17" i="2"/>
  <c r="O23" i="2"/>
  <c r="AG9" i="1"/>
  <c r="O6" i="2"/>
  <c r="P6" i="2" s="1"/>
  <c r="R6" i="2" s="1"/>
  <c r="P14" i="2"/>
  <c r="R14" i="2" s="1"/>
  <c r="O14" i="2"/>
  <c r="AA23" i="2"/>
  <c r="P25" i="2"/>
  <c r="R25" i="2" s="1"/>
  <c r="O25" i="2"/>
  <c r="P27" i="2"/>
  <c r="S27" i="2" s="1"/>
  <c r="O27" i="2"/>
  <c r="P29" i="2"/>
  <c r="R29" i="2" s="1"/>
  <c r="O29" i="2"/>
  <c r="P31" i="2"/>
  <c r="R31" i="2" s="1"/>
  <c r="O31" i="2"/>
  <c r="O10" i="2"/>
  <c r="P8" i="1"/>
  <c r="R8" i="1" s="1"/>
  <c r="U16" i="1"/>
  <c r="AH16" i="1" s="1"/>
  <c r="T17" i="1"/>
  <c r="P19" i="1"/>
  <c r="R19" i="1" s="1"/>
  <c r="T19" i="1" s="1"/>
  <c r="U19" i="1" s="1"/>
  <c r="P25" i="1"/>
  <c r="R25" i="1" s="1"/>
  <c r="AG32" i="1"/>
  <c r="T32" i="1"/>
  <c r="U32" i="1" s="1"/>
  <c r="AA12" i="2"/>
  <c r="AB12" i="2" s="1"/>
  <c r="AA16" i="2"/>
  <c r="AB16" i="2" s="1"/>
  <c r="AB13" i="2"/>
  <c r="AA8" i="2"/>
  <c r="AA6" i="1"/>
  <c r="T3" i="1"/>
  <c r="AG4" i="1"/>
  <c r="P9" i="1"/>
  <c r="R9" i="1" s="1"/>
  <c r="U9" i="1" s="1"/>
  <c r="U24" i="1"/>
  <c r="P17" i="2"/>
  <c r="R17" i="2" s="1"/>
  <c r="O17" i="2"/>
  <c r="AG14" i="1"/>
  <c r="AB16" i="1"/>
  <c r="AE27" i="1"/>
  <c r="AD27" i="1"/>
  <c r="AG28" i="1"/>
  <c r="P5" i="2"/>
  <c r="R5" i="2" s="1"/>
  <c r="T5" i="2" s="1"/>
  <c r="O5" i="2"/>
  <c r="P20" i="2"/>
  <c r="R20" i="2" s="1"/>
  <c r="O20" i="2"/>
  <c r="AB22" i="2"/>
  <c r="AA25" i="2"/>
  <c r="T31" i="1"/>
  <c r="U31" i="1" s="1"/>
  <c r="AH31" i="1" s="1"/>
  <c r="AG31" i="1"/>
  <c r="T4" i="2"/>
  <c r="U4" i="2" s="1"/>
  <c r="AA7" i="2"/>
  <c r="O9" i="2"/>
  <c r="P9" i="2" s="1"/>
  <c r="R9" i="2" s="1"/>
  <c r="O13" i="2"/>
  <c r="AA19" i="2"/>
  <c r="O8" i="1"/>
  <c r="D38" i="1" a="1"/>
  <c r="D38" i="1" s="1"/>
  <c r="AA7" i="1"/>
  <c r="T9" i="1"/>
  <c r="P11" i="1"/>
  <c r="R11" i="1" s="1"/>
  <c r="AI14" i="1"/>
  <c r="AB8" i="2"/>
  <c r="AA11" i="2"/>
  <c r="AA15" i="2"/>
  <c r="AA22" i="2"/>
  <c r="AB19" i="2"/>
  <c r="AB24" i="2"/>
  <c r="AA27" i="2"/>
  <c r="AB26" i="2"/>
  <c r="AA29" i="2"/>
  <c r="AA31" i="2"/>
  <c r="AA16" i="1"/>
  <c r="AI13" i="1"/>
  <c r="P21" i="1"/>
  <c r="R21" i="1" s="1"/>
  <c r="U22" i="1"/>
  <c r="AH22" i="1" s="1"/>
  <c r="AA8" i="1"/>
  <c r="AG5" i="1"/>
  <c r="AG16" i="1"/>
  <c r="T20" i="1"/>
  <c r="AA25" i="1"/>
  <c r="T20" i="2"/>
  <c r="O22" i="2"/>
  <c r="O6" i="1"/>
  <c r="P6" i="1"/>
  <c r="R6" i="1" s="1"/>
  <c r="AA6" i="2"/>
  <c r="AB6" i="2" s="1"/>
  <c r="O16" i="2"/>
  <c r="P16" i="2" s="1"/>
  <c r="R16" i="2" s="1"/>
  <c r="U3" i="1"/>
  <c r="AH3" i="1" s="1"/>
  <c r="AA18" i="1"/>
  <c r="AI15" i="1"/>
  <c r="AA19" i="1"/>
  <c r="T28" i="1"/>
  <c r="U28" i="1" s="1"/>
  <c r="T29" i="1"/>
  <c r="U29" i="1" s="1"/>
  <c r="AA32" i="1"/>
  <c r="AG29" i="1"/>
  <c r="P4" i="1"/>
  <c r="R4" i="1" s="1"/>
  <c r="T4" i="1" s="1"/>
  <c r="AA9" i="1"/>
  <c r="AB9" i="1" s="1"/>
  <c r="AG17" i="1"/>
  <c r="T22" i="1"/>
  <c r="O12" i="2"/>
  <c r="O19" i="2"/>
  <c r="O24" i="2"/>
  <c r="P24" i="2" s="1"/>
  <c r="R24" i="2" s="1"/>
  <c r="T24" i="2" s="1"/>
  <c r="O26" i="2"/>
  <c r="O28" i="2"/>
  <c r="O30" i="2"/>
  <c r="P32" i="2"/>
  <c r="R32" i="2" s="1"/>
  <c r="T32" i="2" s="1"/>
  <c r="O32" i="2"/>
  <c r="AA24" i="1"/>
  <c r="AG21" i="1"/>
  <c r="T23" i="1"/>
  <c r="U23" i="1" s="1"/>
  <c r="AA26" i="1"/>
  <c r="AG23" i="1"/>
  <c r="O8" i="2"/>
  <c r="P8" i="2" s="1"/>
  <c r="R8" i="2" s="1"/>
  <c r="AG18" i="1"/>
  <c r="AB20" i="1"/>
  <c r="O30" i="1"/>
  <c r="T30" i="1" s="1"/>
  <c r="AA10" i="2"/>
  <c r="AB10" i="2" s="1"/>
  <c r="AB7" i="2"/>
  <c r="AA14" i="2"/>
  <c r="AB11" i="2"/>
  <c r="AA18" i="2"/>
  <c r="AB18" i="2" s="1"/>
  <c r="AB15" i="2"/>
  <c r="P7" i="1"/>
  <c r="R7" i="1" s="1"/>
  <c r="T7" i="1" s="1"/>
  <c r="AA20" i="1"/>
  <c r="AB22" i="1"/>
  <c r="AB23" i="1"/>
  <c r="T26" i="1"/>
  <c r="U26" i="1" s="1"/>
  <c r="T27" i="1"/>
  <c r="AA30" i="1"/>
  <c r="AG27" i="1"/>
  <c r="AA21" i="2"/>
  <c r="AA24" i="2"/>
  <c r="AB21" i="2"/>
  <c r="AE29" i="1"/>
  <c r="AD29" i="1"/>
  <c r="AF29" i="1" s="1"/>
  <c r="D41" i="1"/>
  <c r="O5" i="1"/>
  <c r="AA10" i="1"/>
  <c r="T13" i="1"/>
  <c r="U13" i="1" s="1"/>
  <c r="AH13" i="1" s="1"/>
  <c r="AG19" i="1"/>
  <c r="AB21" i="1"/>
  <c r="P3" i="2"/>
  <c r="R3" i="2" s="1"/>
  <c r="T3" i="2" s="1"/>
  <c r="U3" i="2" s="1"/>
  <c r="O7" i="2"/>
  <c r="P7" i="2" s="1"/>
  <c r="R7" i="2" s="1"/>
  <c r="O11" i="2"/>
  <c r="P11" i="2" s="1"/>
  <c r="R11" i="2" s="1"/>
  <c r="O15" i="2"/>
  <c r="P15" i="2" s="1"/>
  <c r="R15" i="2" s="1"/>
  <c r="AA26" i="2"/>
  <c r="AB23" i="2"/>
  <c r="AA22" i="1"/>
  <c r="T24" i="1"/>
  <c r="T25" i="1"/>
  <c r="AA28" i="1"/>
  <c r="AB28" i="1" s="1"/>
  <c r="AG25" i="1"/>
  <c r="AA31" i="1"/>
  <c r="AF4" i="2"/>
  <c r="AA9" i="2"/>
  <c r="AB9" i="2" s="1"/>
  <c r="AA13" i="2"/>
  <c r="AB14" i="2"/>
  <c r="AA17" i="2"/>
  <c r="O18" i="2"/>
  <c r="O21" i="2"/>
  <c r="P21" i="2" s="1"/>
  <c r="R21" i="2" s="1"/>
  <c r="AA28" i="2"/>
  <c r="AB25" i="2"/>
  <c r="T25" i="2"/>
  <c r="AA30" i="2"/>
  <c r="AB27" i="2"/>
  <c r="T27" i="2"/>
  <c r="AA32" i="2"/>
  <c r="AB29" i="2"/>
  <c r="AB31" i="2"/>
  <c r="AH28" i="1" l="1"/>
  <c r="AI28" i="1"/>
  <c r="AH29" i="1"/>
  <c r="AI29" i="1"/>
  <c r="AH19" i="1"/>
  <c r="AI19" i="1"/>
  <c r="T28" i="2"/>
  <c r="AH17" i="1"/>
  <c r="AI17" i="1"/>
  <c r="AH9" i="1"/>
  <c r="AJ9" i="1" s="1"/>
  <c r="AI9" i="1"/>
  <c r="AH32" i="1"/>
  <c r="AI32" i="1"/>
  <c r="AH4" i="2"/>
  <c r="AG4" i="2"/>
  <c r="AI4" i="2"/>
  <c r="AI26" i="1"/>
  <c r="AH26" i="1"/>
  <c r="AJ26" i="1" s="1"/>
  <c r="AH3" i="2"/>
  <c r="AG3" i="2"/>
  <c r="AI3" i="2"/>
  <c r="AH23" i="1"/>
  <c r="AI23" i="1"/>
  <c r="AJ22" i="1"/>
  <c r="U6" i="1"/>
  <c r="T6" i="1"/>
  <c r="AE16" i="1"/>
  <c r="AD16" i="1"/>
  <c r="AF16" i="1" s="1"/>
  <c r="AE27" i="2"/>
  <c r="AD27" i="2"/>
  <c r="AF27" i="2" s="1"/>
  <c r="AI31" i="1"/>
  <c r="AE32" i="2"/>
  <c r="AD32" i="2"/>
  <c r="AF32" i="2" s="1"/>
  <c r="AE10" i="1"/>
  <c r="AD10" i="1"/>
  <c r="AF10" i="1" s="1"/>
  <c r="AB10" i="1"/>
  <c r="T21" i="1"/>
  <c r="U21" i="1" s="1"/>
  <c r="T5" i="1"/>
  <c r="U5" i="1" s="1"/>
  <c r="AJ31" i="1"/>
  <c r="AF15" i="1"/>
  <c r="AF23" i="1"/>
  <c r="AE13" i="2"/>
  <c r="AD13" i="2"/>
  <c r="U23" i="2"/>
  <c r="T23" i="2"/>
  <c r="U30" i="1"/>
  <c r="T8" i="1"/>
  <c r="U8" i="1"/>
  <c r="AI24" i="1"/>
  <c r="AH24" i="1"/>
  <c r="AJ24" i="1" s="1"/>
  <c r="P23" i="2"/>
  <c r="R23" i="2" s="1"/>
  <c r="U7" i="1"/>
  <c r="AE26" i="2"/>
  <c r="AD26" i="2"/>
  <c r="AF26" i="2" s="1"/>
  <c r="AE30" i="2"/>
  <c r="AD30" i="2"/>
  <c r="AF30" i="2" s="1"/>
  <c r="AE7" i="1"/>
  <c r="AD7" i="1"/>
  <c r="AF7" i="1" s="1"/>
  <c r="AE28" i="2"/>
  <c r="AD28" i="2"/>
  <c r="AE31" i="1"/>
  <c r="AD31" i="1"/>
  <c r="AF31" i="1" s="1"/>
  <c r="AB31" i="1"/>
  <c r="AE25" i="1"/>
  <c r="AD25" i="1"/>
  <c r="AF25" i="1" s="1"/>
  <c r="AB25" i="1"/>
  <c r="AE22" i="2"/>
  <c r="AD22" i="2"/>
  <c r="U27" i="2"/>
  <c r="T18" i="1"/>
  <c r="U18" i="1" s="1"/>
  <c r="T10" i="1"/>
  <c r="U10" i="1" s="1"/>
  <c r="AE19" i="2"/>
  <c r="AD19" i="2"/>
  <c r="AE20" i="2"/>
  <c r="AD20" i="2"/>
  <c r="AF20" i="2" s="1"/>
  <c r="AJ14" i="1"/>
  <c r="AE20" i="1"/>
  <c r="AD20" i="1"/>
  <c r="AB32" i="2"/>
  <c r="AE18" i="1"/>
  <c r="AD18" i="1"/>
  <c r="AF18" i="1" s="1"/>
  <c r="T17" i="2"/>
  <c r="U17" i="2" s="1"/>
  <c r="T31" i="2"/>
  <c r="U31" i="2" s="1"/>
  <c r="AI25" i="1"/>
  <c r="AJ25" i="1" s="1"/>
  <c r="AE26" i="1"/>
  <c r="AD26" i="1"/>
  <c r="AF26" i="1" s="1"/>
  <c r="AB26" i="1"/>
  <c r="P19" i="2"/>
  <c r="R19" i="2" s="1"/>
  <c r="AB18" i="1"/>
  <c r="U20" i="2"/>
  <c r="U25" i="2"/>
  <c r="U6" i="2"/>
  <c r="T6" i="2"/>
  <c r="P22" i="2"/>
  <c r="R22" i="2" s="1"/>
  <c r="T22" i="2" s="1"/>
  <c r="U22" i="2" s="1"/>
  <c r="AE21" i="2"/>
  <c r="AD21" i="2"/>
  <c r="AF21" i="2" s="1"/>
  <c r="AE15" i="2"/>
  <c r="AD15" i="2"/>
  <c r="AF15" i="2" s="1"/>
  <c r="AE6" i="1"/>
  <c r="AD6" i="1"/>
  <c r="AB6" i="1"/>
  <c r="AE30" i="1"/>
  <c r="AD30" i="1"/>
  <c r="AF30" i="1" s="1"/>
  <c r="AB30" i="1"/>
  <c r="U4" i="1"/>
  <c r="P10" i="2"/>
  <c r="R10" i="2" s="1"/>
  <c r="T15" i="2"/>
  <c r="U15" i="2" s="1"/>
  <c r="AE32" i="1"/>
  <c r="AD32" i="1"/>
  <c r="AF32" i="1" s="1"/>
  <c r="AB32" i="1"/>
  <c r="P26" i="2"/>
  <c r="R26" i="2" s="1"/>
  <c r="T26" i="2" s="1"/>
  <c r="U24" i="2"/>
  <c r="AE25" i="2"/>
  <c r="AD25" i="2"/>
  <c r="AF25" i="2" s="1"/>
  <c r="AE24" i="2"/>
  <c r="AD24" i="2"/>
  <c r="AF24" i="2" s="1"/>
  <c r="AB30" i="2"/>
  <c r="P12" i="2"/>
  <c r="R12" i="2" s="1"/>
  <c r="AB7" i="1"/>
  <c r="P13" i="2"/>
  <c r="R13" i="2" s="1"/>
  <c r="U13" i="2" s="1"/>
  <c r="U5" i="2"/>
  <c r="AI3" i="1"/>
  <c r="AI22" i="1"/>
  <c r="U20" i="1"/>
  <c r="T12" i="1"/>
  <c r="U12" i="1" s="1"/>
  <c r="AE9" i="1"/>
  <c r="AD9" i="1"/>
  <c r="AF9" i="1" s="1"/>
  <c r="AE12" i="2"/>
  <c r="AD12" i="2"/>
  <c r="T21" i="2"/>
  <c r="U21" i="2" s="1"/>
  <c r="U18" i="2"/>
  <c r="T18" i="2"/>
  <c r="AE18" i="2"/>
  <c r="AD18" i="2"/>
  <c r="AF18" i="2" s="1"/>
  <c r="T13" i="2"/>
  <c r="AJ16" i="1"/>
  <c r="AE23" i="2"/>
  <c r="AD23" i="2"/>
  <c r="AF23" i="2" s="1"/>
  <c r="AE6" i="2"/>
  <c r="AD6" i="2"/>
  <c r="P30" i="2"/>
  <c r="R30" i="2" s="1"/>
  <c r="AE16" i="2"/>
  <c r="AD16" i="2"/>
  <c r="T8" i="2"/>
  <c r="U8" i="2" s="1"/>
  <c r="U7" i="2"/>
  <c r="T7" i="2"/>
  <c r="AE19" i="1"/>
  <c r="AD19" i="1"/>
  <c r="AF19" i="1" s="1"/>
  <c r="AB19" i="1"/>
  <c r="AE28" i="1"/>
  <c r="AD28" i="1"/>
  <c r="AF28" i="1" s="1"/>
  <c r="AE31" i="2"/>
  <c r="AD31" i="2"/>
  <c r="AF31" i="2" s="1"/>
  <c r="T29" i="2"/>
  <c r="U29" i="2" s="1"/>
  <c r="T16" i="2"/>
  <c r="U16" i="2" s="1"/>
  <c r="AB28" i="2"/>
  <c r="AE17" i="2"/>
  <c r="AD17" i="2"/>
  <c r="AF17" i="2" s="1"/>
  <c r="AE14" i="2"/>
  <c r="AD14" i="2"/>
  <c r="AF14" i="2" s="1"/>
  <c r="AE24" i="1"/>
  <c r="AD24" i="1"/>
  <c r="AF24" i="1" s="1"/>
  <c r="AB24" i="1"/>
  <c r="AE11" i="2"/>
  <c r="AD11" i="2"/>
  <c r="AF11" i="2" s="1"/>
  <c r="AB20" i="2"/>
  <c r="C38" i="2" s="1"/>
  <c r="AJ15" i="1"/>
  <c r="AJ27" i="1"/>
  <c r="AE10" i="2"/>
  <c r="AD10" i="2"/>
  <c r="AF10" i="2" s="1"/>
  <c r="AE9" i="2"/>
  <c r="AD9" i="2"/>
  <c r="P28" i="2"/>
  <c r="R28" i="2" s="1"/>
  <c r="U28" i="2" s="1"/>
  <c r="T11" i="2"/>
  <c r="U11" i="2" s="1"/>
  <c r="P18" i="2"/>
  <c r="S18" i="2" s="1"/>
  <c r="D41" i="2" s="1"/>
  <c r="E41" i="2" s="1"/>
  <c r="T9" i="2"/>
  <c r="U9" i="2" s="1"/>
  <c r="AE22" i="1"/>
  <c r="AD22" i="1"/>
  <c r="AF22" i="1" s="1"/>
  <c r="AJ13" i="1"/>
  <c r="AI27" i="1"/>
  <c r="U32" i="2"/>
  <c r="AE8" i="1"/>
  <c r="AD8" i="1"/>
  <c r="AF8" i="1" s="1"/>
  <c r="AB8" i="1"/>
  <c r="AE29" i="2"/>
  <c r="AD29" i="2"/>
  <c r="AE7" i="2"/>
  <c r="AD7" i="2"/>
  <c r="AF7" i="2" s="1"/>
  <c r="AF27" i="1"/>
  <c r="AE8" i="2"/>
  <c r="AD8" i="2"/>
  <c r="T14" i="2"/>
  <c r="U14" i="2" s="1"/>
  <c r="AF21" i="1"/>
  <c r="AH13" i="2" l="1"/>
  <c r="AG13" i="2"/>
  <c r="AI13" i="2"/>
  <c r="U10" i="2"/>
  <c r="AI10" i="1"/>
  <c r="AH10" i="1"/>
  <c r="AJ10" i="1" s="1"/>
  <c r="AH15" i="2"/>
  <c r="AG15" i="2"/>
  <c r="AI15" i="2"/>
  <c r="U19" i="2"/>
  <c r="AH14" i="2"/>
  <c r="AG14" i="2"/>
  <c r="AI14" i="2"/>
  <c r="AH21" i="2"/>
  <c r="AG21" i="2"/>
  <c r="AI21" i="2"/>
  <c r="AH22" i="2"/>
  <c r="AG22" i="2"/>
  <c r="AI22" i="2"/>
  <c r="AG16" i="2"/>
  <c r="AH16" i="2"/>
  <c r="AI16" i="2"/>
  <c r="AH31" i="2"/>
  <c r="AG31" i="2"/>
  <c r="AI31" i="2"/>
  <c r="AH17" i="2"/>
  <c r="AG17" i="2"/>
  <c r="AI17" i="2"/>
  <c r="AH5" i="1"/>
  <c r="AI5" i="1"/>
  <c r="AH21" i="1"/>
  <c r="AI21" i="1"/>
  <c r="AH28" i="2"/>
  <c r="AG28" i="2"/>
  <c r="AI28" i="2"/>
  <c r="AI12" i="1"/>
  <c r="AH12" i="1"/>
  <c r="AJ12" i="1" s="1"/>
  <c r="AH29" i="2"/>
  <c r="AG29" i="2"/>
  <c r="AI29" i="2"/>
  <c r="U12" i="2"/>
  <c r="AI18" i="1"/>
  <c r="AH18" i="1"/>
  <c r="AJ18" i="1" s="1"/>
  <c r="AH9" i="2"/>
  <c r="AG9" i="2"/>
  <c r="AI9" i="2"/>
  <c r="AH8" i="2"/>
  <c r="AG8" i="2"/>
  <c r="AI8" i="2"/>
  <c r="AH11" i="2"/>
  <c r="AG11" i="2"/>
  <c r="AI11" i="2"/>
  <c r="AF28" i="2"/>
  <c r="AJ23" i="1"/>
  <c r="AH30" i="1"/>
  <c r="AI30" i="1"/>
  <c r="AF6" i="2"/>
  <c r="C39" i="2"/>
  <c r="AH24" i="2"/>
  <c r="AJ24" i="2" s="1"/>
  <c r="AG24" i="2"/>
  <c r="AI24" i="2"/>
  <c r="AJ3" i="2"/>
  <c r="AJ17" i="1"/>
  <c r="AH23" i="2"/>
  <c r="AG23" i="2"/>
  <c r="AI23" i="2"/>
  <c r="C40" i="2"/>
  <c r="AH20" i="1"/>
  <c r="AI20" i="1"/>
  <c r="AH5" i="2"/>
  <c r="AG5" i="2"/>
  <c r="AI5" i="2"/>
  <c r="T10" i="2"/>
  <c r="T19" i="2"/>
  <c r="AH6" i="2"/>
  <c r="AG6" i="2"/>
  <c r="AI6" i="2"/>
  <c r="AH27" i="2"/>
  <c r="AG27" i="2"/>
  <c r="AI27" i="2"/>
  <c r="AH32" i="2"/>
  <c r="AG32" i="2"/>
  <c r="AI32" i="2"/>
  <c r="AF8" i="2"/>
  <c r="AF20" i="1"/>
  <c r="AF22" i="2"/>
  <c r="AF13" i="2"/>
  <c r="AJ19" i="1"/>
  <c r="AF6" i="1"/>
  <c r="AJ32" i="1"/>
  <c r="AH7" i="2"/>
  <c r="AG7" i="2"/>
  <c r="AI7" i="2"/>
  <c r="AH4" i="1"/>
  <c r="AI4" i="1"/>
  <c r="AH20" i="2"/>
  <c r="AG20" i="2"/>
  <c r="AI20" i="2"/>
  <c r="T30" i="2"/>
  <c r="U30" i="2" s="1"/>
  <c r="AJ4" i="2"/>
  <c r="AJ29" i="1"/>
  <c r="AH25" i="2"/>
  <c r="AG25" i="2"/>
  <c r="AI25" i="2"/>
  <c r="U26" i="2"/>
  <c r="T12" i="2"/>
  <c r="AH7" i="1"/>
  <c r="AI7" i="1"/>
  <c r="C36" i="2"/>
  <c r="AH8" i="1"/>
  <c r="AJ8" i="1" s="1"/>
  <c r="AI8" i="1"/>
  <c r="AJ3" i="1"/>
  <c r="C37" i="2"/>
  <c r="AH6" i="1"/>
  <c r="AI6" i="1"/>
  <c r="AH18" i="2"/>
  <c r="AG18" i="2"/>
  <c r="AI18" i="2"/>
  <c r="AF29" i="2"/>
  <c r="AF9" i="2"/>
  <c r="AF16" i="2"/>
  <c r="AF12" i="2"/>
  <c r="AF19" i="2"/>
  <c r="AJ28" i="1"/>
  <c r="AH30" i="2" l="1"/>
  <c r="AG30" i="2"/>
  <c r="AI30" i="2"/>
  <c r="AJ9" i="2"/>
  <c r="AJ21" i="2"/>
  <c r="AJ14" i="2"/>
  <c r="AJ15" i="2"/>
  <c r="AJ30" i="1"/>
  <c r="AJ32" i="2"/>
  <c r="AJ27" i="2"/>
  <c r="AJ5" i="2"/>
  <c r="AJ23" i="2"/>
  <c r="AJ16" i="2"/>
  <c r="AJ5" i="1"/>
  <c r="AJ20" i="1"/>
  <c r="AH19" i="2"/>
  <c r="AG19" i="2"/>
  <c r="AI19" i="2"/>
  <c r="AJ7" i="2"/>
  <c r="AH26" i="2"/>
  <c r="AG26" i="2"/>
  <c r="AI26" i="2"/>
  <c r="AJ11" i="2"/>
  <c r="AH10" i="2"/>
  <c r="AG10" i="2"/>
  <c r="AI10" i="2"/>
  <c r="D40" i="2" s="1"/>
  <c r="AJ4" i="1"/>
  <c r="AJ28" i="2"/>
  <c r="AJ6" i="1"/>
  <c r="E37" i="2"/>
  <c r="C42" i="2"/>
  <c r="AJ17" i="2"/>
  <c r="AJ20" i="2"/>
  <c r="AJ29" i="2"/>
  <c r="AH12" i="2"/>
  <c r="AG12" i="2"/>
  <c r="AI12" i="2"/>
  <c r="AJ31" i="2"/>
  <c r="AJ7" i="1"/>
  <c r="D37" i="2"/>
  <c r="F37" i="2" s="1"/>
  <c r="D36" i="2"/>
  <c r="D38" i="2" s="1"/>
  <c r="AJ6" i="2"/>
  <c r="AJ18" i="2"/>
  <c r="AJ25" i="2"/>
  <c r="AJ8" i="2"/>
  <c r="AJ21" i="1"/>
  <c r="AJ22" i="2"/>
  <c r="AJ13" i="2"/>
  <c r="F40" i="2" l="1"/>
  <c r="E40" i="2"/>
  <c r="AJ19" i="2"/>
  <c r="E36" i="2"/>
  <c r="AJ12" i="2"/>
  <c r="D39" i="2"/>
  <c r="AJ30" i="2"/>
  <c r="E38" i="2"/>
  <c r="F38" i="2"/>
  <c r="F36" i="2"/>
  <c r="AJ10" i="2"/>
  <c r="D42" i="2" s="1"/>
  <c r="AJ26" i="2"/>
  <c r="F42" i="2" l="1"/>
  <c r="E42" i="2"/>
  <c r="E39" i="2"/>
  <c r="F39" i="2"/>
  <c r="AE11" i="1"/>
  <c r="AD11" i="1"/>
  <c r="AF11" i="1" s="1"/>
  <c r="T11" i="1"/>
  <c r="U11" i="1"/>
  <c r="AI11" i="1" s="1"/>
  <c r="D40" i="1" s="1"/>
  <c r="AH11" i="1"/>
  <c r="AJ11" i="1" s="1"/>
  <c r="D42" i="1" s="1"/>
  <c r="D39" i="1"/>
  <c r="AB11" i="1"/>
  <c r="AA12" i="1"/>
  <c r="AD12" i="1" s="1"/>
  <c r="AB12" i="1"/>
  <c r="AA14" i="1"/>
  <c r="AD14" i="1" s="1"/>
  <c r="D36" i="1"/>
  <c r="AD13" i="1"/>
  <c r="AF13" i="1" s="1"/>
  <c r="AB13" i="1"/>
  <c r="AG11" i="1"/>
  <c r="D37" i="1"/>
  <c r="AA13" i="1"/>
  <c r="AE13" i="1"/>
  <c r="AB14" i="1" l="1"/>
  <c r="C38" i="1" s="1"/>
  <c r="AE12" i="1"/>
  <c r="AF12" i="1" s="1"/>
  <c r="AE14" i="1"/>
  <c r="AF14" i="1" s="1"/>
  <c r="C39" i="1"/>
  <c r="C42" i="1" l="1"/>
  <c r="E38" i="1"/>
  <c r="F38" i="1"/>
  <c r="E39" i="1"/>
  <c r="F39" i="1"/>
  <c r="C37" i="1"/>
  <c r="C36" i="1"/>
  <c r="C40" i="1"/>
  <c r="E37" i="1" l="1"/>
  <c r="F37" i="1"/>
  <c r="F40" i="1"/>
  <c r="E40" i="1"/>
  <c r="E36" i="1"/>
  <c r="F36" i="1"/>
  <c r="F42" i="1"/>
  <c r="E42" i="1"/>
</calcChain>
</file>

<file path=xl/sharedStrings.xml><?xml version="1.0" encoding="utf-8"?>
<sst xmlns="http://schemas.openxmlformats.org/spreadsheetml/2006/main" count="250" uniqueCount="82">
  <si>
    <t>Ngày</t>
  </si>
  <si>
    <t>Temp_t (°C)</t>
  </si>
  <si>
    <t>Rain_t (mm)</t>
  </si>
  <si>
    <t>Ripe_t (%)</t>
  </si>
  <si>
    <t>Order_t (Tấn)</t>
  </si>
  <si>
    <t>PeakDay_t (0/1)</t>
  </si>
  <si>
    <t>Sản lượng thu hoạch (Tấn)</t>
  </si>
  <si>
    <t>Sản lượng đi xe lạnh (Tấn)</t>
  </si>
  <si>
    <t>Nhiệt độ yêu cầu (°C)</t>
  </si>
  <si>
    <t>Số xe yêu cầu</t>
  </si>
  <si>
    <t>Dự báo T+7 (Tấn)</t>
  </si>
  <si>
    <t>Dự báo T+3 (Tấn)</t>
  </si>
  <si>
    <t>Dự báo T+1 (Tấn)</t>
  </si>
  <si>
    <t>Nhu cầu xe FrostLink (18T)</t>
  </si>
  <si>
    <t>Lớp 1 - Cam kết cứng (70%)</t>
  </si>
  <si>
    <t>Lớp 2 - Quyền chọn linh hoạt (20%)</t>
  </si>
  <si>
    <t>Trạng thái Lớp 2 (Hủy khi Mưa &gt; 20mm)</t>
  </si>
  <si>
    <t>Lớp 2 - Thực chạy</t>
  </si>
  <si>
    <t>Chi phí phạt cọc Lớp 2 (VNĐ)</t>
  </si>
  <si>
    <t>Lớp 3 - Giao ngay (Bù thực tế)</t>
  </si>
  <si>
    <t>Tổng số xe FrostLink thực chạy</t>
  </si>
  <si>
    <t>Số xe sẵn có</t>
  </si>
  <si>
    <t>Nhiệt độ xe sẵn có (°C)</t>
  </si>
  <si>
    <t>Thời gian tìm xe (Giờ)</t>
  </si>
  <si>
    <t>Giá chốt xe (VNĐ)</t>
  </si>
  <si>
    <t>Tỷ lệ hư hỏng (%)</t>
  </si>
  <si>
    <t>Baseline (Dự báo thủ công)</t>
  </si>
  <si>
    <t>Baseline - Sai số xe</t>
  </si>
  <si>
    <t>Kiểm định nhiệt độ</t>
  </si>
  <si>
    <t>Baseline - C_over (VNĐ)</t>
  </si>
  <si>
    <t>Baseline - C_under (VNĐ)</t>
  </si>
  <si>
    <t>Baseline - Tổng chi phí rủi ro (VNĐ)</t>
  </si>
  <si>
    <t>FrostLink - Sai số xe</t>
  </si>
  <si>
    <t>FrostLink - C_over (VNĐ)</t>
  </si>
  <si>
    <t>FrostLink - C_under (VNĐ)</t>
  </si>
  <si>
    <t>FrostLink - Tổng chi phí rủi ro (VNĐ)</t>
  </si>
  <si>
    <t>Ngày 01</t>
  </si>
  <si>
    <t>2-4</t>
  </si>
  <si>
    <t>Ngày 02</t>
  </si>
  <si>
    <t>Ngày 03</t>
  </si>
  <si>
    <t>Ngày 04</t>
  </si>
  <si>
    <t>Ngày 05</t>
  </si>
  <si>
    <t>Ngày 06</t>
  </si>
  <si>
    <t>Ngày 07</t>
  </si>
  <si>
    <t>Ngày 08</t>
  </si>
  <si>
    <t>Ngày 09</t>
  </si>
  <si>
    <t>8-10 (Lỗi)</t>
  </si>
  <si>
    <t>Ngày 10</t>
  </si>
  <si>
    <t>Ngày 11</t>
  </si>
  <si>
    <t>Ngày 12</t>
  </si>
  <si>
    <t>Ngày 13</t>
  </si>
  <si>
    <t>Ngày 14</t>
  </si>
  <si>
    <t>Ngày 15</t>
  </si>
  <si>
    <t>Ngày 16</t>
  </si>
  <si>
    <t>5-8 (Lỗi)</t>
  </si>
  <si>
    <t>Ngày 17</t>
  </si>
  <si>
    <t>Ngày 18</t>
  </si>
  <si>
    <t>Ngày 19</t>
  </si>
  <si>
    <t>Ngày 20</t>
  </si>
  <si>
    <t>Ngày 21</t>
  </si>
  <si>
    <t>Ngày 22</t>
  </si>
  <si>
    <t>Ngày 23</t>
  </si>
  <si>
    <t>Ngày 24</t>
  </si>
  <si>
    <t>Ngày 25</t>
  </si>
  <si>
    <t>Ngày 26</t>
  </si>
  <si>
    <t>Ngày 27</t>
  </si>
  <si>
    <t>Ngày 28</t>
  </si>
  <si>
    <t>Ngày 29</t>
  </si>
  <si>
    <t>Ngày 30</t>
  </si>
  <si>
    <t>BẢNG TỔNG HỢP KPI SO SÁNH HIỆU QUẢ: MÔ HÌNH NỀN (BASELINE) VS. MÔ HÌNH FROSTLINK</t>
  </si>
  <si>
    <t>Chỉ số KPI Đánh giá</t>
  </si>
  <si>
    <t>Mô hình nền (Baseline)</t>
  </si>
  <si>
    <t>Mô hình FrostLink (Đề xuất)</t>
  </si>
  <si>
    <t>Chênh lệch (Mức giảm)</t>
  </si>
  <si>
    <t>Tỷ lệ cải thiện (%)</t>
  </si>
  <si>
    <t>Sai số số xe trung bình (Truck MAE - Xe/ngày)</t>
  </si>
  <si>
    <t>Sai số phần trăm có trọng số (Truck WAPE)</t>
  </si>
  <si>
    <t>Sai số sản lượng MAE (Tấn/ngày)</t>
  </si>
  <si>
    <t>Tổng chi phí thừa xe C_over (VNĐ)</t>
  </si>
  <si>
    <t>Tổng chi phí thiếu xe C_under (VNĐ)</t>
  </si>
  <si>
    <t>Chi phí phạt hủy cọc Lớp 2 (VNĐ)</t>
  </si>
  <si>
    <t>TỔNG CHI PHÍ RỦI RO CHUỖI LẠNH (VNĐ)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</si>
</sst>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THÁNG &quot;m/yyyy"/>
    <numFmt numFmtId="165" formatCode="#,##0.0"/>
    <numFmt numFmtId="166" formatCode="#,##0\ &quot;đ&quot;"/>
    <numFmt numFmtId="167" formatCode="#,##0&quot; đ&quot;"/>
    <numFmt numFmtId="168" formatCode="d\-m"/>
    <numFmt numFmtId="169" formatCode="#,##0&quot;%&quot;"/>
    <numFmt numFmtId="170" formatCode="#,##0\%"/>
  </numFmts>
  <fonts count="11" x14ac:knownFonts="1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b/>
      <sz val="18"/>
      <color theme="1"/>
      <name val="Arial"/>
    </font>
    <font>
      <b/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466"/>
        <bgColor rgb="FFFFF466"/>
      </patternFill>
    </fill>
    <fill>
      <patternFill patternType="solid">
        <fgColor rgb="FFEEEEEE"/>
        <bgColor rgb="FFEEEEE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/>
    </xf>
    <xf numFmtId="9" fontId="6" fillId="0" borderId="5" xfId="0" applyNumberFormat="1" applyFont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9" fontId="7" fillId="0" borderId="5" xfId="0" applyNumberFormat="1" applyFont="1" applyBorder="1" applyAlignment="1">
      <alignment horizontal="center"/>
    </xf>
    <xf numFmtId="165" fontId="6" fillId="0" borderId="5" xfId="0" applyNumberFormat="1" applyFont="1" applyBorder="1" applyAlignment="1">
      <alignment horizontal="center" vertical="center"/>
    </xf>
    <xf numFmtId="49" fontId="6" fillId="0" borderId="5" xfId="0" quotePrefix="1" applyNumberFormat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166" fontId="6" fillId="0" borderId="5" xfId="0" applyNumberFormat="1" applyFont="1" applyBorder="1" applyAlignment="1">
      <alignment horizontal="center" vertical="center"/>
    </xf>
    <xf numFmtId="167" fontId="7" fillId="0" borderId="5" xfId="0" applyNumberFormat="1" applyFont="1" applyBorder="1" applyAlignment="1">
      <alignment horizontal="center"/>
    </xf>
    <xf numFmtId="168" fontId="6" fillId="0" borderId="5" xfId="0" applyNumberFormat="1" applyFont="1" applyBorder="1" applyAlignment="1">
      <alignment horizontal="center" vertical="center"/>
    </xf>
    <xf numFmtId="166" fontId="6" fillId="0" borderId="5" xfId="0" applyNumberFormat="1" applyFont="1" applyBorder="1" applyAlignment="1">
      <alignment horizontal="right" vertical="center"/>
    </xf>
    <xf numFmtId="169" fontId="6" fillId="0" borderId="5" xfId="0" applyNumberFormat="1" applyFont="1" applyBorder="1" applyAlignment="1">
      <alignment horizontal="center" vertical="center"/>
    </xf>
    <xf numFmtId="167" fontId="7" fillId="0" borderId="5" xfId="0" applyNumberFormat="1" applyFont="1" applyBorder="1" applyAlignment="1">
      <alignment horizontal="right"/>
    </xf>
    <xf numFmtId="170" fontId="7" fillId="0" borderId="5" xfId="0" applyNumberFormat="1" applyFont="1" applyBorder="1" applyAlignment="1">
      <alignment horizontal="center"/>
    </xf>
    <xf numFmtId="165" fontId="8" fillId="0" borderId="5" xfId="0" applyNumberFormat="1" applyFont="1" applyBorder="1"/>
    <xf numFmtId="0" fontId="6" fillId="0" borderId="0" xfId="0" applyFont="1" applyAlignment="1">
      <alignment horizontal="right"/>
    </xf>
    <xf numFmtId="0" fontId="3" fillId="3" borderId="9" xfId="0" applyFont="1" applyFill="1" applyBorder="1" applyAlignment="1">
      <alignment horizontal="center" vertical="center"/>
    </xf>
    <xf numFmtId="4" fontId="6" fillId="3" borderId="9" xfId="0" applyNumberFormat="1" applyFont="1" applyFill="1" applyBorder="1" applyAlignment="1">
      <alignment horizontal="center" vertical="center"/>
    </xf>
    <xf numFmtId="10" fontId="6" fillId="3" borderId="9" xfId="0" applyNumberFormat="1" applyFont="1" applyFill="1" applyBorder="1" applyAlignment="1">
      <alignment horizontal="center" vertical="center"/>
    </xf>
    <xf numFmtId="166" fontId="6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166" fontId="10" fillId="3" borderId="9" xfId="0" applyNumberFormat="1" applyFont="1" applyFill="1" applyBorder="1" applyAlignment="1">
      <alignment horizontal="center" vertical="center"/>
    </xf>
    <xf numFmtId="10" fontId="10" fillId="3" borderId="9" xfId="0" applyNumberFormat="1" applyFont="1" applyFill="1" applyBorder="1" applyAlignment="1">
      <alignment horizontal="center" vertical="center"/>
    </xf>
    <xf numFmtId="49" fontId="6" fillId="0" borderId="0" xfId="0" applyNumberFormat="1" applyFont="1"/>
    <xf numFmtId="164" fontId="2" fillId="2" borderId="1" xfId="0" applyNumberFormat="1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9" fillId="3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164" fontId="1" fillId="2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00"/>
  <sheetViews>
    <sheetView workbookViewId="0">
      <pane ySplit="2" topLeftCell="A3" activePane="bottomLeft" state="frozen"/>
      <selection pane="bottomLeft" activeCell="P4" sqref="P4"/>
    </sheetView>
  </sheetViews>
  <sheetFormatPr defaultColWidth="12.5703125" defaultRowHeight="15.75" customHeight="1" x14ac:dyDescent="0.2"/>
  <cols>
    <col min="1" max="1" width="21.140625" customWidth="1"/>
    <col min="2" max="2" width="43.28515625" customWidth="1"/>
    <col min="3" max="3" width="21.5703125" customWidth="1"/>
    <col min="4" max="4" width="25.28515625" customWidth="1"/>
    <col min="5" max="5" width="20.5703125" customWidth="1"/>
    <col min="6" max="6" width="16.5703125" customWidth="1"/>
    <col min="7" max="7" width="16.42578125" customWidth="1"/>
    <col min="8" max="8" width="16.140625" customWidth="1"/>
    <col min="9" max="9" width="14.7109375" customWidth="1"/>
    <col min="10" max="10" width="14.28515625" customWidth="1"/>
    <col min="11" max="13" width="9.5703125" customWidth="1"/>
    <col min="14" max="14" width="19.5703125" customWidth="1"/>
    <col min="15" max="15" width="17" customWidth="1"/>
    <col min="16" max="16" width="22.28515625" customWidth="1"/>
    <col min="17" max="17" width="24.5703125" customWidth="1"/>
    <col min="18" max="18" width="10.5703125" customWidth="1"/>
    <col min="19" max="19" width="17.5703125" customWidth="1"/>
    <col min="20" max="20" width="20.7109375" customWidth="1"/>
    <col min="21" max="21" width="20.140625" customWidth="1"/>
    <col min="22" max="22" width="10.140625" customWidth="1"/>
    <col min="23" max="23" width="16" customWidth="1"/>
    <col min="24" max="25" width="13.140625" customWidth="1"/>
    <col min="26" max="26" width="11.140625" customWidth="1"/>
    <col min="27" max="27" width="16.42578125" customWidth="1"/>
    <col min="28" max="28" width="13.42578125" customWidth="1"/>
    <col min="29" max="29" width="12.7109375" customWidth="1"/>
    <col min="30" max="30" width="14" customWidth="1"/>
    <col min="31" max="31" width="15" customWidth="1"/>
    <col min="32" max="32" width="22.140625" customWidth="1"/>
    <col min="33" max="33" width="14.140625" customWidth="1"/>
    <col min="34" max="34" width="14.5703125" customWidth="1"/>
    <col min="35" max="35" width="15.5703125" customWidth="1"/>
    <col min="36" max="36" width="22.5703125" customWidth="1"/>
  </cols>
  <sheetData>
    <row r="1" spans="1:40" ht="30" customHeight="1" x14ac:dyDescent="0.2">
      <c r="A1" s="37">
        <v>46174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</row>
    <row r="2" spans="1:40" ht="33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3"/>
      <c r="AL2" s="3"/>
      <c r="AM2" s="3"/>
      <c r="AN2" s="3"/>
    </row>
    <row r="3" spans="1:40" ht="12.75" x14ac:dyDescent="0.2">
      <c r="A3" s="4" t="s">
        <v>36</v>
      </c>
      <c r="B3" s="4">
        <v>36</v>
      </c>
      <c r="C3" s="4">
        <v>0</v>
      </c>
      <c r="D3" s="5">
        <v>0.35</v>
      </c>
      <c r="E3" s="4">
        <v>22</v>
      </c>
      <c r="F3" s="4">
        <v>0</v>
      </c>
      <c r="G3" s="4">
        <v>20</v>
      </c>
      <c r="H3" s="9">
        <f t="shared" ref="H3:H32" si="0">G3*IF(F3=1, 0.85, 0.8)</f>
        <v>16</v>
      </c>
      <c r="I3" s="10" t="s">
        <v>37</v>
      </c>
      <c r="J3" s="4">
        <f t="shared" ref="J3:J32" si="1">ROUNDUP(H3/4.8, 0)</f>
        <v>4</v>
      </c>
      <c r="K3" s="9">
        <f t="shared" ref="K3:K32" si="2">ROUND(TREND(G$3:G$32, E$3:E$32, E3), 1)</f>
        <v>42.1</v>
      </c>
      <c r="L3" s="9">
        <f t="shared" ref="L3:L32" si="3">ROUND(TREND(G$3:G$32, B$3:E$32, B3:E3), 1)</f>
        <v>25.1</v>
      </c>
      <c r="M3" s="9">
        <f t="shared" ref="M3:M32" si="4">ROUND(TREND(G$3:G$32, B$3:F$32, B3:F3), 1)</f>
        <v>25.7</v>
      </c>
      <c r="N3" s="4">
        <f>ROUNDUP(L3*IF(F3=1, 0.85, 0.8)/4.8, 0)</f>
        <v>5</v>
      </c>
      <c r="O3" s="4">
        <f t="shared" ref="O3:O32" si="5">ROUND(N3*70%, 0)</f>
        <v>4</v>
      </c>
      <c r="P3" s="4">
        <f t="shared" ref="P3:P32" si="6">ROUND(N3*20%, 0)</f>
        <v>1</v>
      </c>
      <c r="Q3" s="4" t="str">
        <f t="shared" ref="Q3:Q32" si="7">IF(C3&gt;20, "Hủy slot (Mưa &gt; 20mm)", "Kích hoạt")</f>
        <v>Kích hoạt</v>
      </c>
      <c r="R3" s="4">
        <f t="shared" ref="R3:R32" si="8">IF(C3&gt;20, 0, P3)</f>
        <v>1</v>
      </c>
      <c r="S3" s="13">
        <f t="shared" ref="S3:S32" si="9">IF(C3&gt;20, P3*0.4*Y3, 0)</f>
        <v>0</v>
      </c>
      <c r="T3" s="4">
        <f t="shared" ref="T3:T32" si="10">MAX(0, J3 - O3 - R3)</f>
        <v>0</v>
      </c>
      <c r="U3" s="4">
        <f t="shared" ref="U3:U32" si="11">O3 + R3 + T3</f>
        <v>5</v>
      </c>
      <c r="V3" s="4">
        <v>15</v>
      </c>
      <c r="W3" s="15">
        <v>46114</v>
      </c>
      <c r="X3" s="4">
        <v>2</v>
      </c>
      <c r="Y3" s="16">
        <f t="shared" ref="Y3:Y32" si="12">IF(OR(B3&gt;=34, F3=1), 11700000, 9000000)</f>
        <v>11700000</v>
      </c>
      <c r="Z3" s="17">
        <v>2</v>
      </c>
      <c r="AA3" s="9"/>
      <c r="AB3" s="9"/>
      <c r="AC3" s="4" t="str">
        <f t="shared" ref="AC3:AC32" si="13">IF(OR(W3="8-10 (Lỗi)", W3="5-8 (Lỗi)"), "Loại", "Hợp lệ")</f>
        <v>Hợp lệ</v>
      </c>
      <c r="AD3" s="16">
        <f t="shared" ref="AD3:AD32" si="14">IF(AA3="", 0, IF(AA3&gt;J3, (AA3-J3)*1500000, 0))</f>
        <v>0</v>
      </c>
      <c r="AE3" s="16">
        <f t="shared" ref="AE3:AE32" si="15">IF(AA3="", 0, IF(J3&gt;AA3, (J3-AA3)*4500000, 0))</f>
        <v>0</v>
      </c>
      <c r="AF3" s="16">
        <f t="shared" ref="AF3:AF32" si="16">AD3 + AE3</f>
        <v>0</v>
      </c>
      <c r="AG3" s="4">
        <f t="shared" ref="AG3:AG32" si="17">ABS(J3 - N3)</f>
        <v>1</v>
      </c>
      <c r="AH3" s="16">
        <f t="shared" ref="AH3:AH32" si="18">IF(U3&gt;J3, (U3-J3)*1500000, 0)</f>
        <v>1500000</v>
      </c>
      <c r="AI3" s="16">
        <f t="shared" ref="AI3:AI32" si="19">IF(J3&gt;U3, (J3-U3)*4500000, 0)</f>
        <v>0</v>
      </c>
      <c r="AJ3" s="16">
        <f t="shared" ref="AJ3:AJ32" si="20">AH3 + AI3 + S3</f>
        <v>1500000</v>
      </c>
    </row>
    <row r="4" spans="1:40" ht="12.75" x14ac:dyDescent="0.2">
      <c r="A4" s="4" t="s">
        <v>38</v>
      </c>
      <c r="B4" s="4">
        <v>36</v>
      </c>
      <c r="C4" s="4">
        <v>0</v>
      </c>
      <c r="D4" s="5">
        <v>0.5</v>
      </c>
      <c r="E4" s="4">
        <v>28</v>
      </c>
      <c r="F4" s="4">
        <v>0</v>
      </c>
      <c r="G4" s="4">
        <v>25</v>
      </c>
      <c r="H4" s="9">
        <f t="shared" si="0"/>
        <v>20</v>
      </c>
      <c r="I4" s="10" t="s">
        <v>37</v>
      </c>
      <c r="J4" s="4">
        <f t="shared" si="1"/>
        <v>5</v>
      </c>
      <c r="K4" s="9">
        <f t="shared" si="2"/>
        <v>45.2</v>
      </c>
      <c r="L4" s="9">
        <f t="shared" si="3"/>
        <v>24.7</v>
      </c>
      <c r="M4" s="9">
        <f t="shared" si="4"/>
        <v>24.9</v>
      </c>
      <c r="N4" s="4">
        <f t="shared" ref="N4:N32" si="21">ROUNDUP(L4*IF(F4=1, 0.85, 0.8)/4.8, 0)</f>
        <v>5</v>
      </c>
      <c r="O4" s="4">
        <f t="shared" si="5"/>
        <v>4</v>
      </c>
      <c r="P4" s="4">
        <f t="shared" si="6"/>
        <v>1</v>
      </c>
      <c r="Q4" s="4" t="str">
        <f t="shared" si="7"/>
        <v>Kích hoạt</v>
      </c>
      <c r="R4" s="4">
        <f t="shared" si="8"/>
        <v>1</v>
      </c>
      <c r="S4" s="13">
        <f t="shared" si="9"/>
        <v>0</v>
      </c>
      <c r="T4" s="4">
        <f t="shared" si="10"/>
        <v>0</v>
      </c>
      <c r="U4" s="4">
        <f t="shared" si="11"/>
        <v>5</v>
      </c>
      <c r="V4" s="4">
        <v>14</v>
      </c>
      <c r="W4" s="15">
        <v>46114</v>
      </c>
      <c r="X4" s="4">
        <v>2</v>
      </c>
      <c r="Y4" s="16">
        <f t="shared" si="12"/>
        <v>11700000</v>
      </c>
      <c r="Z4" s="17">
        <v>2</v>
      </c>
      <c r="AA4" s="9"/>
      <c r="AB4" s="9"/>
      <c r="AC4" s="4" t="str">
        <f t="shared" si="13"/>
        <v>Hợp lệ</v>
      </c>
      <c r="AD4" s="16">
        <f t="shared" si="14"/>
        <v>0</v>
      </c>
      <c r="AE4" s="16">
        <f t="shared" si="15"/>
        <v>0</v>
      </c>
      <c r="AF4" s="16">
        <f t="shared" si="16"/>
        <v>0</v>
      </c>
      <c r="AG4" s="4">
        <f t="shared" si="17"/>
        <v>0</v>
      </c>
      <c r="AH4" s="16">
        <f t="shared" si="18"/>
        <v>0</v>
      </c>
      <c r="AI4" s="16">
        <f t="shared" si="19"/>
        <v>0</v>
      </c>
      <c r="AJ4" s="16">
        <f t="shared" si="20"/>
        <v>0</v>
      </c>
    </row>
    <row r="5" spans="1:40" ht="12.75" x14ac:dyDescent="0.2">
      <c r="A5" s="4" t="s">
        <v>39</v>
      </c>
      <c r="B5" s="4">
        <v>36</v>
      </c>
      <c r="C5" s="4">
        <v>0</v>
      </c>
      <c r="D5" s="5">
        <v>0.65</v>
      </c>
      <c r="E5" s="4">
        <v>35</v>
      </c>
      <c r="F5" s="4">
        <v>0</v>
      </c>
      <c r="G5" s="4">
        <v>15</v>
      </c>
      <c r="H5" s="9">
        <f t="shared" si="0"/>
        <v>12</v>
      </c>
      <c r="I5" s="10" t="s">
        <v>37</v>
      </c>
      <c r="J5" s="4">
        <f t="shared" si="1"/>
        <v>3</v>
      </c>
      <c r="K5" s="9">
        <f t="shared" si="2"/>
        <v>48.8</v>
      </c>
      <c r="L5" s="9">
        <f t="shared" si="3"/>
        <v>25.4</v>
      </c>
      <c r="M5" s="9">
        <f t="shared" si="4"/>
        <v>25.1</v>
      </c>
      <c r="N5" s="4">
        <f t="shared" si="21"/>
        <v>5</v>
      </c>
      <c r="O5" s="4">
        <f t="shared" si="5"/>
        <v>4</v>
      </c>
      <c r="P5" s="4">
        <f t="shared" si="6"/>
        <v>1</v>
      </c>
      <c r="Q5" s="4" t="str">
        <f t="shared" si="7"/>
        <v>Kích hoạt</v>
      </c>
      <c r="R5" s="4">
        <f t="shared" si="8"/>
        <v>1</v>
      </c>
      <c r="S5" s="13">
        <f t="shared" si="9"/>
        <v>0</v>
      </c>
      <c r="T5" s="4">
        <f t="shared" si="10"/>
        <v>0</v>
      </c>
      <c r="U5" s="4">
        <f t="shared" si="11"/>
        <v>5</v>
      </c>
      <c r="V5" s="4">
        <v>15</v>
      </c>
      <c r="W5" s="15">
        <v>46114</v>
      </c>
      <c r="X5" s="4">
        <v>1</v>
      </c>
      <c r="Y5" s="16">
        <f t="shared" si="12"/>
        <v>11700000</v>
      </c>
      <c r="Z5" s="17">
        <v>1</v>
      </c>
      <c r="AA5" s="9"/>
      <c r="AB5" s="9"/>
      <c r="AC5" s="4" t="str">
        <f t="shared" si="13"/>
        <v>Hợp lệ</v>
      </c>
      <c r="AD5" s="16">
        <f t="shared" si="14"/>
        <v>0</v>
      </c>
      <c r="AE5" s="16">
        <f t="shared" si="15"/>
        <v>0</v>
      </c>
      <c r="AF5" s="16">
        <f t="shared" si="16"/>
        <v>0</v>
      </c>
      <c r="AG5" s="4">
        <f t="shared" si="17"/>
        <v>2</v>
      </c>
      <c r="AH5" s="16">
        <f t="shared" si="18"/>
        <v>3000000</v>
      </c>
      <c r="AI5" s="16">
        <f t="shared" si="19"/>
        <v>0</v>
      </c>
      <c r="AJ5" s="16">
        <f t="shared" si="20"/>
        <v>3000000</v>
      </c>
    </row>
    <row r="6" spans="1:40" ht="12.75" x14ac:dyDescent="0.2">
      <c r="A6" s="4" t="s">
        <v>40</v>
      </c>
      <c r="B6" s="4">
        <v>33</v>
      </c>
      <c r="C6" s="4">
        <v>0</v>
      </c>
      <c r="D6" s="5">
        <v>0.75</v>
      </c>
      <c r="E6" s="4">
        <v>30</v>
      </c>
      <c r="F6" s="4">
        <v>0</v>
      </c>
      <c r="G6" s="4">
        <v>30</v>
      </c>
      <c r="H6" s="9">
        <f t="shared" si="0"/>
        <v>24</v>
      </c>
      <c r="I6" s="10" t="s">
        <v>37</v>
      </c>
      <c r="J6" s="4">
        <f t="shared" si="1"/>
        <v>5</v>
      </c>
      <c r="K6" s="9">
        <f t="shared" si="2"/>
        <v>46.2</v>
      </c>
      <c r="L6" s="9">
        <f t="shared" si="3"/>
        <v>37.799999999999997</v>
      </c>
      <c r="M6" s="9">
        <f t="shared" si="4"/>
        <v>35.5</v>
      </c>
      <c r="N6" s="4">
        <f t="shared" si="21"/>
        <v>7</v>
      </c>
      <c r="O6" s="4">
        <f t="shared" si="5"/>
        <v>5</v>
      </c>
      <c r="P6" s="4">
        <f t="shared" si="6"/>
        <v>1</v>
      </c>
      <c r="Q6" s="4" t="str">
        <f t="shared" si="7"/>
        <v>Kích hoạt</v>
      </c>
      <c r="R6" s="4">
        <f t="shared" si="8"/>
        <v>1</v>
      </c>
      <c r="S6" s="13">
        <f t="shared" si="9"/>
        <v>0</v>
      </c>
      <c r="T6" s="4">
        <f t="shared" si="10"/>
        <v>0</v>
      </c>
      <c r="U6" s="4">
        <f t="shared" si="11"/>
        <v>6</v>
      </c>
      <c r="V6" s="4">
        <v>13</v>
      </c>
      <c r="W6" s="15">
        <v>46114</v>
      </c>
      <c r="X6" s="4">
        <v>2</v>
      </c>
      <c r="Y6" s="16">
        <f t="shared" si="12"/>
        <v>9000000</v>
      </c>
      <c r="Z6" s="17">
        <v>2</v>
      </c>
      <c r="AA6" s="9">
        <f t="shared" ref="AA6:AA32" si="22">AVERAGE(J3:J5)</f>
        <v>4</v>
      </c>
      <c r="AB6" s="9">
        <f t="shared" ref="AB6:AB32" si="23">ABS(J6 - AA6)</f>
        <v>1</v>
      </c>
      <c r="AC6" s="4" t="str">
        <f t="shared" si="13"/>
        <v>Hợp lệ</v>
      </c>
      <c r="AD6" s="16">
        <f t="shared" si="14"/>
        <v>0</v>
      </c>
      <c r="AE6" s="16">
        <f t="shared" si="15"/>
        <v>4500000</v>
      </c>
      <c r="AF6" s="16">
        <f t="shared" si="16"/>
        <v>4500000</v>
      </c>
      <c r="AG6" s="4">
        <f t="shared" si="17"/>
        <v>2</v>
      </c>
      <c r="AH6" s="16">
        <f t="shared" si="18"/>
        <v>1500000</v>
      </c>
      <c r="AI6" s="16">
        <f t="shared" si="19"/>
        <v>0</v>
      </c>
      <c r="AJ6" s="16">
        <f t="shared" si="20"/>
        <v>1500000</v>
      </c>
    </row>
    <row r="7" spans="1:40" ht="12.75" x14ac:dyDescent="0.2">
      <c r="A7" s="4" t="s">
        <v>41</v>
      </c>
      <c r="B7" s="4">
        <v>30</v>
      </c>
      <c r="C7" s="4">
        <v>20</v>
      </c>
      <c r="D7" s="5">
        <v>0.8</v>
      </c>
      <c r="E7" s="4">
        <v>18</v>
      </c>
      <c r="F7" s="4">
        <v>1</v>
      </c>
      <c r="G7" s="4">
        <v>35</v>
      </c>
      <c r="H7" s="9">
        <f t="shared" si="0"/>
        <v>29.75</v>
      </c>
      <c r="I7" s="10" t="s">
        <v>37</v>
      </c>
      <c r="J7" s="4">
        <f t="shared" si="1"/>
        <v>7</v>
      </c>
      <c r="K7" s="9">
        <f t="shared" si="2"/>
        <v>40.1</v>
      </c>
      <c r="L7" s="9">
        <f t="shared" si="3"/>
        <v>45.6</v>
      </c>
      <c r="M7" s="9">
        <f t="shared" si="4"/>
        <v>51.6</v>
      </c>
      <c r="N7" s="4">
        <f t="shared" si="21"/>
        <v>9</v>
      </c>
      <c r="O7" s="4">
        <f t="shared" si="5"/>
        <v>6</v>
      </c>
      <c r="P7" s="4">
        <f t="shared" si="6"/>
        <v>2</v>
      </c>
      <c r="Q7" s="4" t="str">
        <f t="shared" si="7"/>
        <v>Kích hoạt</v>
      </c>
      <c r="R7" s="4">
        <f t="shared" si="8"/>
        <v>2</v>
      </c>
      <c r="S7" s="13">
        <f t="shared" si="9"/>
        <v>0</v>
      </c>
      <c r="T7" s="4">
        <f t="shared" si="10"/>
        <v>0</v>
      </c>
      <c r="U7" s="4">
        <f t="shared" si="11"/>
        <v>8</v>
      </c>
      <c r="V7" s="4">
        <v>10</v>
      </c>
      <c r="W7" s="15">
        <v>46114</v>
      </c>
      <c r="X7" s="4">
        <v>3</v>
      </c>
      <c r="Y7" s="16">
        <f t="shared" si="12"/>
        <v>11700000</v>
      </c>
      <c r="Z7" s="17">
        <v>3</v>
      </c>
      <c r="AA7" s="9">
        <f t="shared" si="22"/>
        <v>4.333333333333333</v>
      </c>
      <c r="AB7" s="9">
        <f t="shared" si="23"/>
        <v>2.666666666666667</v>
      </c>
      <c r="AC7" s="4" t="str">
        <f t="shared" si="13"/>
        <v>Hợp lệ</v>
      </c>
      <c r="AD7" s="16">
        <f t="shared" si="14"/>
        <v>0</v>
      </c>
      <c r="AE7" s="16">
        <f t="shared" si="15"/>
        <v>12000000.000000002</v>
      </c>
      <c r="AF7" s="16">
        <f t="shared" si="16"/>
        <v>12000000.000000002</v>
      </c>
      <c r="AG7" s="4">
        <f t="shared" si="17"/>
        <v>2</v>
      </c>
      <c r="AH7" s="16">
        <f t="shared" si="18"/>
        <v>1500000</v>
      </c>
      <c r="AI7" s="16">
        <f t="shared" si="19"/>
        <v>0</v>
      </c>
      <c r="AJ7" s="16">
        <f t="shared" si="20"/>
        <v>1500000</v>
      </c>
    </row>
    <row r="8" spans="1:40" ht="12.75" x14ac:dyDescent="0.2">
      <c r="A8" s="4" t="s">
        <v>42</v>
      </c>
      <c r="B8" s="4">
        <v>34</v>
      </c>
      <c r="C8" s="4">
        <v>0</v>
      </c>
      <c r="D8" s="5">
        <v>0.88</v>
      </c>
      <c r="E8" s="4">
        <v>42</v>
      </c>
      <c r="F8" s="4">
        <v>1</v>
      </c>
      <c r="G8" s="4">
        <v>45</v>
      </c>
      <c r="H8" s="9">
        <f t="shared" si="0"/>
        <v>38.25</v>
      </c>
      <c r="I8" s="10" t="s">
        <v>37</v>
      </c>
      <c r="J8" s="4">
        <f t="shared" si="1"/>
        <v>8</v>
      </c>
      <c r="K8" s="9">
        <f t="shared" si="2"/>
        <v>52.4</v>
      </c>
      <c r="L8" s="9">
        <f t="shared" si="3"/>
        <v>37.200000000000003</v>
      </c>
      <c r="M8" s="9">
        <f t="shared" si="4"/>
        <v>43.7</v>
      </c>
      <c r="N8" s="4">
        <f t="shared" si="21"/>
        <v>7</v>
      </c>
      <c r="O8" s="4">
        <f t="shared" si="5"/>
        <v>5</v>
      </c>
      <c r="P8" s="4">
        <f t="shared" si="6"/>
        <v>1</v>
      </c>
      <c r="Q8" s="4" t="str">
        <f t="shared" si="7"/>
        <v>Kích hoạt</v>
      </c>
      <c r="R8" s="4">
        <f t="shared" si="8"/>
        <v>1</v>
      </c>
      <c r="S8" s="13">
        <f t="shared" si="9"/>
        <v>0</v>
      </c>
      <c r="T8" s="4">
        <f t="shared" si="10"/>
        <v>2</v>
      </c>
      <c r="U8" s="4">
        <f t="shared" si="11"/>
        <v>8</v>
      </c>
      <c r="V8" s="4">
        <v>9</v>
      </c>
      <c r="W8" s="15">
        <v>46114</v>
      </c>
      <c r="X8" s="4">
        <v>6</v>
      </c>
      <c r="Y8" s="16">
        <f t="shared" si="12"/>
        <v>11700000</v>
      </c>
      <c r="Z8" s="17">
        <v>5</v>
      </c>
      <c r="AA8" s="9">
        <f t="shared" si="22"/>
        <v>5</v>
      </c>
      <c r="AB8" s="9">
        <f t="shared" si="23"/>
        <v>3</v>
      </c>
      <c r="AC8" s="4" t="str">
        <f t="shared" si="13"/>
        <v>Hợp lệ</v>
      </c>
      <c r="AD8" s="16">
        <f t="shared" si="14"/>
        <v>0</v>
      </c>
      <c r="AE8" s="16">
        <f t="shared" si="15"/>
        <v>13500000</v>
      </c>
      <c r="AF8" s="16">
        <f t="shared" si="16"/>
        <v>13500000</v>
      </c>
      <c r="AG8" s="4">
        <f t="shared" si="17"/>
        <v>1</v>
      </c>
      <c r="AH8" s="16">
        <f t="shared" si="18"/>
        <v>0</v>
      </c>
      <c r="AI8" s="16">
        <f t="shared" si="19"/>
        <v>0</v>
      </c>
      <c r="AJ8" s="16">
        <f t="shared" si="20"/>
        <v>0</v>
      </c>
    </row>
    <row r="9" spans="1:40" ht="12.75" x14ac:dyDescent="0.2">
      <c r="A9" s="4" t="s">
        <v>43</v>
      </c>
      <c r="B9" s="4">
        <v>37</v>
      </c>
      <c r="C9" s="4">
        <v>0</v>
      </c>
      <c r="D9" s="5">
        <v>0.95</v>
      </c>
      <c r="E9" s="4">
        <v>65</v>
      </c>
      <c r="F9" s="4">
        <v>0</v>
      </c>
      <c r="G9" s="4">
        <v>65</v>
      </c>
      <c r="H9" s="9">
        <f t="shared" si="0"/>
        <v>52</v>
      </c>
      <c r="I9" s="10" t="s">
        <v>37</v>
      </c>
      <c r="J9" s="4">
        <f t="shared" si="1"/>
        <v>11</v>
      </c>
      <c r="K9" s="9">
        <f t="shared" si="2"/>
        <v>64.2</v>
      </c>
      <c r="L9" s="9">
        <f t="shared" si="3"/>
        <v>35.700000000000003</v>
      </c>
      <c r="M9" s="9">
        <f t="shared" si="4"/>
        <v>34.799999999999997</v>
      </c>
      <c r="N9" s="4">
        <f t="shared" si="21"/>
        <v>6</v>
      </c>
      <c r="O9" s="4">
        <f t="shared" si="5"/>
        <v>4</v>
      </c>
      <c r="P9" s="4">
        <f t="shared" si="6"/>
        <v>1</v>
      </c>
      <c r="Q9" s="4" t="str">
        <f t="shared" si="7"/>
        <v>Kích hoạt</v>
      </c>
      <c r="R9" s="4">
        <f t="shared" si="8"/>
        <v>1</v>
      </c>
      <c r="S9" s="13">
        <f t="shared" si="9"/>
        <v>0</v>
      </c>
      <c r="T9" s="4">
        <f t="shared" si="10"/>
        <v>6</v>
      </c>
      <c r="U9" s="4">
        <f t="shared" si="11"/>
        <v>11</v>
      </c>
      <c r="V9" s="4">
        <v>15</v>
      </c>
      <c r="W9" s="15">
        <v>46114</v>
      </c>
      <c r="X9" s="4">
        <v>12</v>
      </c>
      <c r="Y9" s="16">
        <f t="shared" si="12"/>
        <v>11700000</v>
      </c>
      <c r="Z9" s="17">
        <v>10</v>
      </c>
      <c r="AA9" s="9">
        <f t="shared" si="22"/>
        <v>6.666666666666667</v>
      </c>
      <c r="AB9" s="9">
        <f t="shared" si="23"/>
        <v>4.333333333333333</v>
      </c>
      <c r="AC9" s="4" t="str">
        <f t="shared" si="13"/>
        <v>Hợp lệ</v>
      </c>
      <c r="AD9" s="16">
        <f t="shared" si="14"/>
        <v>0</v>
      </c>
      <c r="AE9" s="16">
        <f t="shared" si="15"/>
        <v>19500000</v>
      </c>
      <c r="AF9" s="16">
        <f t="shared" si="16"/>
        <v>19500000</v>
      </c>
      <c r="AG9" s="4">
        <f t="shared" si="17"/>
        <v>5</v>
      </c>
      <c r="AH9" s="16">
        <f t="shared" si="18"/>
        <v>0</v>
      </c>
      <c r="AI9" s="16">
        <f t="shared" si="19"/>
        <v>0</v>
      </c>
      <c r="AJ9" s="16">
        <f t="shared" si="20"/>
        <v>0</v>
      </c>
    </row>
    <row r="10" spans="1:40" ht="12.75" x14ac:dyDescent="0.2">
      <c r="A10" s="4" t="s">
        <v>44</v>
      </c>
      <c r="B10" s="4">
        <v>32</v>
      </c>
      <c r="C10" s="4">
        <v>0</v>
      </c>
      <c r="D10" s="5">
        <v>0.2</v>
      </c>
      <c r="E10" s="4">
        <v>32</v>
      </c>
      <c r="F10" s="4">
        <v>0</v>
      </c>
      <c r="G10" s="4">
        <v>75</v>
      </c>
      <c r="H10" s="9">
        <f t="shared" si="0"/>
        <v>60</v>
      </c>
      <c r="I10" s="10" t="s">
        <v>37</v>
      </c>
      <c r="J10" s="4">
        <f t="shared" si="1"/>
        <v>13</v>
      </c>
      <c r="K10" s="9">
        <f t="shared" si="2"/>
        <v>47.3</v>
      </c>
      <c r="L10" s="9">
        <f t="shared" si="3"/>
        <v>70.8</v>
      </c>
      <c r="M10" s="9">
        <f t="shared" si="4"/>
        <v>69</v>
      </c>
      <c r="N10" s="4">
        <f t="shared" si="21"/>
        <v>12</v>
      </c>
      <c r="O10" s="4">
        <f t="shared" si="5"/>
        <v>8</v>
      </c>
      <c r="P10" s="4">
        <f t="shared" si="6"/>
        <v>2</v>
      </c>
      <c r="Q10" s="4" t="str">
        <f t="shared" si="7"/>
        <v>Kích hoạt</v>
      </c>
      <c r="R10" s="4">
        <f t="shared" si="8"/>
        <v>2</v>
      </c>
      <c r="S10" s="13">
        <f t="shared" si="9"/>
        <v>0</v>
      </c>
      <c r="T10" s="4">
        <f t="shared" si="10"/>
        <v>3</v>
      </c>
      <c r="U10" s="4">
        <f t="shared" si="11"/>
        <v>13</v>
      </c>
      <c r="V10" s="4">
        <v>15</v>
      </c>
      <c r="W10" s="15">
        <v>46114</v>
      </c>
      <c r="X10" s="4">
        <v>14</v>
      </c>
      <c r="Y10" s="16">
        <f t="shared" si="12"/>
        <v>9000000</v>
      </c>
      <c r="Z10" s="17">
        <v>12</v>
      </c>
      <c r="AA10" s="9">
        <f t="shared" si="22"/>
        <v>8.6666666666666661</v>
      </c>
      <c r="AB10" s="9">
        <f t="shared" si="23"/>
        <v>4.3333333333333339</v>
      </c>
      <c r="AC10" s="4" t="str">
        <f t="shared" si="13"/>
        <v>Hợp lệ</v>
      </c>
      <c r="AD10" s="16">
        <f t="shared" si="14"/>
        <v>0</v>
      </c>
      <c r="AE10" s="16">
        <f t="shared" si="15"/>
        <v>19500000.000000004</v>
      </c>
      <c r="AF10" s="16">
        <f t="shared" si="16"/>
        <v>19500000.000000004</v>
      </c>
      <c r="AG10" s="4">
        <f t="shared" si="17"/>
        <v>1</v>
      </c>
      <c r="AH10" s="16">
        <f t="shared" si="18"/>
        <v>0</v>
      </c>
      <c r="AI10" s="16">
        <f t="shared" si="19"/>
        <v>0</v>
      </c>
      <c r="AJ10" s="16">
        <f t="shared" si="20"/>
        <v>0</v>
      </c>
    </row>
    <row r="11" spans="1:40" ht="12.75" x14ac:dyDescent="0.2">
      <c r="A11" s="4" t="s">
        <v>45</v>
      </c>
      <c r="B11" s="4">
        <v>30</v>
      </c>
      <c r="C11" s="4">
        <v>15</v>
      </c>
      <c r="D11" s="5">
        <v>0.28000000000000003</v>
      </c>
      <c r="E11" s="4">
        <v>22</v>
      </c>
      <c r="F11" s="4">
        <v>0</v>
      </c>
      <c r="G11" s="4">
        <v>70</v>
      </c>
      <c r="H11" s="9">
        <f t="shared" si="0"/>
        <v>56</v>
      </c>
      <c r="I11" s="10" t="s">
        <v>37</v>
      </c>
      <c r="J11" s="4">
        <f t="shared" si="1"/>
        <v>12</v>
      </c>
      <c r="K11" s="9">
        <f t="shared" si="2"/>
        <v>42.1</v>
      </c>
      <c r="L11" s="9">
        <f t="shared" si="3"/>
        <v>72</v>
      </c>
      <c r="M11" s="9">
        <f t="shared" si="4"/>
        <v>69.900000000000006</v>
      </c>
      <c r="N11" s="4">
        <f t="shared" si="21"/>
        <v>12</v>
      </c>
      <c r="O11" s="4">
        <f t="shared" si="5"/>
        <v>8</v>
      </c>
      <c r="P11" s="4">
        <f t="shared" si="6"/>
        <v>2</v>
      </c>
      <c r="Q11" s="4" t="str">
        <f t="shared" si="7"/>
        <v>Kích hoạt</v>
      </c>
      <c r="R11" s="4">
        <f t="shared" si="8"/>
        <v>2</v>
      </c>
      <c r="S11" s="13">
        <f t="shared" si="9"/>
        <v>0</v>
      </c>
      <c r="T11" s="4">
        <f t="shared" si="10"/>
        <v>2</v>
      </c>
      <c r="U11" s="4">
        <f t="shared" si="11"/>
        <v>12</v>
      </c>
      <c r="V11" s="4">
        <v>16</v>
      </c>
      <c r="W11" s="4" t="s">
        <v>46</v>
      </c>
      <c r="X11" s="4">
        <v>12</v>
      </c>
      <c r="Y11" s="16">
        <f t="shared" si="12"/>
        <v>9000000</v>
      </c>
      <c r="Z11" s="17">
        <v>15</v>
      </c>
      <c r="AA11" s="9">
        <f t="shared" si="22"/>
        <v>10.666666666666666</v>
      </c>
      <c r="AB11" s="9">
        <f t="shared" si="23"/>
        <v>1.3333333333333339</v>
      </c>
      <c r="AC11" s="4" t="str">
        <f t="shared" si="13"/>
        <v>Loại</v>
      </c>
      <c r="AD11" s="16">
        <f t="shared" si="14"/>
        <v>0</v>
      </c>
      <c r="AE11" s="16">
        <f t="shared" si="15"/>
        <v>6000000.0000000028</v>
      </c>
      <c r="AF11" s="16">
        <f t="shared" si="16"/>
        <v>6000000.0000000028</v>
      </c>
      <c r="AG11" s="4">
        <f t="shared" si="17"/>
        <v>0</v>
      </c>
      <c r="AH11" s="16">
        <f t="shared" si="18"/>
        <v>0</v>
      </c>
      <c r="AI11" s="16">
        <f t="shared" si="19"/>
        <v>0</v>
      </c>
      <c r="AJ11" s="16">
        <f t="shared" si="20"/>
        <v>0</v>
      </c>
    </row>
    <row r="12" spans="1:40" ht="12.75" x14ac:dyDescent="0.2">
      <c r="A12" s="4" t="s">
        <v>47</v>
      </c>
      <c r="B12" s="4">
        <v>32</v>
      </c>
      <c r="C12" s="4">
        <v>0</v>
      </c>
      <c r="D12" s="5">
        <v>0.35</v>
      </c>
      <c r="E12" s="4">
        <v>38</v>
      </c>
      <c r="F12" s="4">
        <v>0</v>
      </c>
      <c r="G12" s="4">
        <v>72</v>
      </c>
      <c r="H12" s="9">
        <f t="shared" si="0"/>
        <v>57.6</v>
      </c>
      <c r="I12" s="10" t="s">
        <v>37</v>
      </c>
      <c r="J12" s="4">
        <f t="shared" si="1"/>
        <v>12</v>
      </c>
      <c r="K12" s="9">
        <f t="shared" si="2"/>
        <v>50.3</v>
      </c>
      <c r="L12" s="9">
        <f t="shared" si="3"/>
        <v>70.400000000000006</v>
      </c>
      <c r="M12" s="9">
        <f t="shared" si="4"/>
        <v>68.2</v>
      </c>
      <c r="N12" s="4">
        <f t="shared" si="21"/>
        <v>12</v>
      </c>
      <c r="O12" s="4">
        <f t="shared" si="5"/>
        <v>8</v>
      </c>
      <c r="P12" s="4">
        <f t="shared" si="6"/>
        <v>2</v>
      </c>
      <c r="Q12" s="4" t="str">
        <f t="shared" si="7"/>
        <v>Kích hoạt</v>
      </c>
      <c r="R12" s="4">
        <f t="shared" si="8"/>
        <v>2</v>
      </c>
      <c r="S12" s="13">
        <f t="shared" si="9"/>
        <v>0</v>
      </c>
      <c r="T12" s="4">
        <f t="shared" si="10"/>
        <v>2</v>
      </c>
      <c r="U12" s="4">
        <f t="shared" si="11"/>
        <v>12</v>
      </c>
      <c r="V12" s="4">
        <v>14</v>
      </c>
      <c r="W12" s="15">
        <v>46114</v>
      </c>
      <c r="X12" s="4">
        <v>16</v>
      </c>
      <c r="Y12" s="16">
        <f t="shared" si="12"/>
        <v>9000000</v>
      </c>
      <c r="Z12" s="17">
        <v>13</v>
      </c>
      <c r="AA12" s="9">
        <f t="shared" si="22"/>
        <v>12</v>
      </c>
      <c r="AB12" s="9">
        <f t="shared" si="23"/>
        <v>0</v>
      </c>
      <c r="AC12" s="4" t="str">
        <f t="shared" si="13"/>
        <v>Hợp lệ</v>
      </c>
      <c r="AD12" s="16">
        <f t="shared" si="14"/>
        <v>0</v>
      </c>
      <c r="AE12" s="16">
        <f t="shared" si="15"/>
        <v>0</v>
      </c>
      <c r="AF12" s="16">
        <f t="shared" si="16"/>
        <v>0</v>
      </c>
      <c r="AG12" s="4">
        <f t="shared" si="17"/>
        <v>0</v>
      </c>
      <c r="AH12" s="16">
        <f t="shared" si="18"/>
        <v>0</v>
      </c>
      <c r="AI12" s="16">
        <f t="shared" si="19"/>
        <v>0</v>
      </c>
      <c r="AJ12" s="16">
        <f t="shared" si="20"/>
        <v>0</v>
      </c>
    </row>
    <row r="13" spans="1:40" ht="12.75" x14ac:dyDescent="0.2">
      <c r="A13" s="4" t="s">
        <v>48</v>
      </c>
      <c r="B13" s="4">
        <v>34</v>
      </c>
      <c r="C13" s="4">
        <v>0</v>
      </c>
      <c r="D13" s="5">
        <v>0.45</v>
      </c>
      <c r="E13" s="4">
        <v>52</v>
      </c>
      <c r="F13" s="4">
        <v>0</v>
      </c>
      <c r="G13" s="4">
        <v>20</v>
      </c>
      <c r="H13" s="9">
        <f t="shared" si="0"/>
        <v>16</v>
      </c>
      <c r="I13" s="10" t="s">
        <v>37</v>
      </c>
      <c r="J13" s="4">
        <f t="shared" si="1"/>
        <v>4</v>
      </c>
      <c r="K13" s="9">
        <f t="shared" si="2"/>
        <v>57.5</v>
      </c>
      <c r="L13" s="9">
        <f t="shared" si="3"/>
        <v>65.8</v>
      </c>
      <c r="M13" s="9">
        <f t="shared" si="4"/>
        <v>64.3</v>
      </c>
      <c r="N13" s="4">
        <f t="shared" si="21"/>
        <v>11</v>
      </c>
      <c r="O13" s="4">
        <f t="shared" si="5"/>
        <v>8</v>
      </c>
      <c r="P13" s="4">
        <f t="shared" si="6"/>
        <v>2</v>
      </c>
      <c r="Q13" s="4" t="str">
        <f t="shared" si="7"/>
        <v>Kích hoạt</v>
      </c>
      <c r="R13" s="4">
        <f t="shared" si="8"/>
        <v>2</v>
      </c>
      <c r="S13" s="13">
        <f t="shared" si="9"/>
        <v>0</v>
      </c>
      <c r="T13" s="4">
        <f t="shared" si="10"/>
        <v>0</v>
      </c>
      <c r="U13" s="4">
        <f t="shared" si="11"/>
        <v>10</v>
      </c>
      <c r="V13" s="4">
        <v>15</v>
      </c>
      <c r="W13" s="15">
        <v>46114</v>
      </c>
      <c r="X13" s="4">
        <v>2</v>
      </c>
      <c r="Y13" s="16">
        <f t="shared" si="12"/>
        <v>11700000</v>
      </c>
      <c r="Z13" s="17">
        <v>2</v>
      </c>
      <c r="AA13" s="9">
        <f t="shared" si="22"/>
        <v>12.333333333333334</v>
      </c>
      <c r="AB13" s="9">
        <f t="shared" si="23"/>
        <v>8.3333333333333339</v>
      </c>
      <c r="AC13" s="4" t="str">
        <f t="shared" si="13"/>
        <v>Hợp lệ</v>
      </c>
      <c r="AD13" s="16">
        <f t="shared" si="14"/>
        <v>12500000</v>
      </c>
      <c r="AE13" s="16">
        <f t="shared" si="15"/>
        <v>0</v>
      </c>
      <c r="AF13" s="16">
        <f t="shared" si="16"/>
        <v>12500000</v>
      </c>
      <c r="AG13" s="4">
        <f t="shared" si="17"/>
        <v>7</v>
      </c>
      <c r="AH13" s="16">
        <f t="shared" si="18"/>
        <v>9000000</v>
      </c>
      <c r="AI13" s="16">
        <f t="shared" si="19"/>
        <v>0</v>
      </c>
      <c r="AJ13" s="16">
        <f t="shared" si="20"/>
        <v>9000000</v>
      </c>
    </row>
    <row r="14" spans="1:40" ht="12.75" x14ac:dyDescent="0.2">
      <c r="A14" s="4" t="s">
        <v>49</v>
      </c>
      <c r="B14" s="4">
        <v>31</v>
      </c>
      <c r="C14" s="4">
        <v>0</v>
      </c>
      <c r="D14" s="5">
        <v>0.52</v>
      </c>
      <c r="E14" s="4">
        <v>45</v>
      </c>
      <c r="F14" s="4">
        <v>1</v>
      </c>
      <c r="G14" s="4">
        <v>110</v>
      </c>
      <c r="H14" s="9">
        <f t="shared" si="0"/>
        <v>93.5</v>
      </c>
      <c r="I14" s="10" t="s">
        <v>37</v>
      </c>
      <c r="J14" s="4">
        <f t="shared" si="1"/>
        <v>20</v>
      </c>
      <c r="K14" s="9">
        <f t="shared" si="2"/>
        <v>53.9</v>
      </c>
      <c r="L14" s="9">
        <f t="shared" si="3"/>
        <v>77.5</v>
      </c>
      <c r="M14" s="9">
        <f t="shared" si="4"/>
        <v>82.9</v>
      </c>
      <c r="N14" s="4">
        <f t="shared" si="21"/>
        <v>14</v>
      </c>
      <c r="O14" s="4">
        <f t="shared" si="5"/>
        <v>10</v>
      </c>
      <c r="P14" s="4">
        <f t="shared" si="6"/>
        <v>3</v>
      </c>
      <c r="Q14" s="4" t="str">
        <f t="shared" si="7"/>
        <v>Kích hoạt</v>
      </c>
      <c r="R14" s="4">
        <f t="shared" si="8"/>
        <v>3</v>
      </c>
      <c r="S14" s="13">
        <f t="shared" si="9"/>
        <v>0</v>
      </c>
      <c r="T14" s="4">
        <f t="shared" si="10"/>
        <v>7</v>
      </c>
      <c r="U14" s="4">
        <f t="shared" si="11"/>
        <v>20</v>
      </c>
      <c r="V14" s="4">
        <v>10</v>
      </c>
      <c r="W14" s="15">
        <v>46114</v>
      </c>
      <c r="X14" s="4">
        <v>24</v>
      </c>
      <c r="Y14" s="16">
        <f t="shared" si="12"/>
        <v>11700000</v>
      </c>
      <c r="Z14" s="17">
        <v>20</v>
      </c>
      <c r="AA14" s="9">
        <f t="shared" si="22"/>
        <v>9.3333333333333339</v>
      </c>
      <c r="AB14" s="9">
        <f t="shared" si="23"/>
        <v>10.666666666666666</v>
      </c>
      <c r="AC14" s="4" t="str">
        <f t="shared" si="13"/>
        <v>Hợp lệ</v>
      </c>
      <c r="AD14" s="16">
        <f t="shared" si="14"/>
        <v>0</v>
      </c>
      <c r="AE14" s="16">
        <f t="shared" si="15"/>
        <v>48000000</v>
      </c>
      <c r="AF14" s="16">
        <f t="shared" si="16"/>
        <v>48000000</v>
      </c>
      <c r="AG14" s="4">
        <f t="shared" si="17"/>
        <v>6</v>
      </c>
      <c r="AH14" s="16">
        <f t="shared" si="18"/>
        <v>0</v>
      </c>
      <c r="AI14" s="16">
        <f t="shared" si="19"/>
        <v>0</v>
      </c>
      <c r="AJ14" s="16">
        <f t="shared" si="20"/>
        <v>0</v>
      </c>
    </row>
    <row r="15" spans="1:40" ht="12.75" x14ac:dyDescent="0.2">
      <c r="A15" s="4" t="s">
        <v>50</v>
      </c>
      <c r="B15" s="4">
        <v>36</v>
      </c>
      <c r="C15" s="4">
        <v>0</v>
      </c>
      <c r="D15" s="5">
        <v>0.68</v>
      </c>
      <c r="E15" s="4">
        <v>78</v>
      </c>
      <c r="F15" s="4">
        <v>1</v>
      </c>
      <c r="G15" s="4">
        <v>95</v>
      </c>
      <c r="H15" s="9">
        <f t="shared" si="0"/>
        <v>80.75</v>
      </c>
      <c r="I15" s="10" t="s">
        <v>37</v>
      </c>
      <c r="J15" s="4">
        <f t="shared" si="1"/>
        <v>17</v>
      </c>
      <c r="K15" s="9">
        <f t="shared" si="2"/>
        <v>70.900000000000006</v>
      </c>
      <c r="L15" s="9">
        <f t="shared" si="3"/>
        <v>67.8</v>
      </c>
      <c r="M15" s="9">
        <f t="shared" si="4"/>
        <v>75.3</v>
      </c>
      <c r="N15" s="4">
        <f t="shared" si="21"/>
        <v>13</v>
      </c>
      <c r="O15" s="4">
        <f t="shared" si="5"/>
        <v>9</v>
      </c>
      <c r="P15" s="4">
        <f t="shared" si="6"/>
        <v>3</v>
      </c>
      <c r="Q15" s="4" t="str">
        <f t="shared" si="7"/>
        <v>Kích hoạt</v>
      </c>
      <c r="R15" s="4">
        <f t="shared" si="8"/>
        <v>3</v>
      </c>
      <c r="S15" s="13">
        <f t="shared" si="9"/>
        <v>0</v>
      </c>
      <c r="T15" s="4">
        <f t="shared" si="10"/>
        <v>5</v>
      </c>
      <c r="U15" s="4">
        <f t="shared" si="11"/>
        <v>17</v>
      </c>
      <c r="V15" s="4">
        <v>9</v>
      </c>
      <c r="W15" s="15">
        <v>46114</v>
      </c>
      <c r="X15" s="4">
        <v>22</v>
      </c>
      <c r="Y15" s="16">
        <f t="shared" si="12"/>
        <v>11700000</v>
      </c>
      <c r="Z15" s="17">
        <v>18</v>
      </c>
      <c r="AA15" s="9">
        <f t="shared" si="22"/>
        <v>12</v>
      </c>
      <c r="AB15" s="9">
        <f t="shared" si="23"/>
        <v>5</v>
      </c>
      <c r="AC15" s="4" t="str">
        <f t="shared" si="13"/>
        <v>Hợp lệ</v>
      </c>
      <c r="AD15" s="16">
        <f t="shared" si="14"/>
        <v>0</v>
      </c>
      <c r="AE15" s="16">
        <f t="shared" si="15"/>
        <v>22500000</v>
      </c>
      <c r="AF15" s="16">
        <f t="shared" si="16"/>
        <v>22500000</v>
      </c>
      <c r="AG15" s="4">
        <f t="shared" si="17"/>
        <v>4</v>
      </c>
      <c r="AH15" s="16">
        <f t="shared" si="18"/>
        <v>0</v>
      </c>
      <c r="AI15" s="16">
        <f t="shared" si="19"/>
        <v>0</v>
      </c>
      <c r="AJ15" s="16">
        <f t="shared" si="20"/>
        <v>0</v>
      </c>
    </row>
    <row r="16" spans="1:40" ht="12.75" x14ac:dyDescent="0.2">
      <c r="A16" s="4" t="s">
        <v>51</v>
      </c>
      <c r="B16" s="4">
        <v>35</v>
      </c>
      <c r="C16" s="4">
        <v>0</v>
      </c>
      <c r="D16" s="5">
        <v>0.78</v>
      </c>
      <c r="E16" s="4">
        <v>85</v>
      </c>
      <c r="F16" s="4">
        <v>0</v>
      </c>
      <c r="G16" s="4">
        <v>85</v>
      </c>
      <c r="H16" s="9">
        <f t="shared" si="0"/>
        <v>68</v>
      </c>
      <c r="I16" s="10" t="s">
        <v>37</v>
      </c>
      <c r="J16" s="4">
        <f t="shared" si="1"/>
        <v>15</v>
      </c>
      <c r="K16" s="9">
        <f t="shared" si="2"/>
        <v>74.5</v>
      </c>
      <c r="L16" s="9">
        <f t="shared" si="3"/>
        <v>77.900000000000006</v>
      </c>
      <c r="M16" s="9">
        <f t="shared" si="4"/>
        <v>75.7</v>
      </c>
      <c r="N16" s="4">
        <f t="shared" si="21"/>
        <v>13</v>
      </c>
      <c r="O16" s="4">
        <f t="shared" si="5"/>
        <v>9</v>
      </c>
      <c r="P16" s="4">
        <f t="shared" si="6"/>
        <v>3</v>
      </c>
      <c r="Q16" s="4" t="str">
        <f t="shared" si="7"/>
        <v>Kích hoạt</v>
      </c>
      <c r="R16" s="4">
        <f t="shared" si="8"/>
        <v>3</v>
      </c>
      <c r="S16" s="13">
        <f t="shared" si="9"/>
        <v>0</v>
      </c>
      <c r="T16" s="4">
        <f t="shared" si="10"/>
        <v>3</v>
      </c>
      <c r="U16" s="4">
        <f t="shared" si="11"/>
        <v>15</v>
      </c>
      <c r="V16" s="4">
        <v>14</v>
      </c>
      <c r="W16" s="15">
        <v>46114</v>
      </c>
      <c r="X16" s="4">
        <v>18</v>
      </c>
      <c r="Y16" s="16">
        <f t="shared" si="12"/>
        <v>11700000</v>
      </c>
      <c r="Z16" s="17">
        <v>15</v>
      </c>
      <c r="AA16" s="9">
        <f t="shared" si="22"/>
        <v>13.666666666666666</v>
      </c>
      <c r="AB16" s="9">
        <f t="shared" si="23"/>
        <v>1.3333333333333339</v>
      </c>
      <c r="AC16" s="4" t="str">
        <f t="shared" si="13"/>
        <v>Hợp lệ</v>
      </c>
      <c r="AD16" s="16">
        <f t="shared" si="14"/>
        <v>0</v>
      </c>
      <c r="AE16" s="16">
        <f t="shared" si="15"/>
        <v>6000000.0000000028</v>
      </c>
      <c r="AF16" s="16">
        <f t="shared" si="16"/>
        <v>6000000.0000000028</v>
      </c>
      <c r="AG16" s="4">
        <f t="shared" si="17"/>
        <v>2</v>
      </c>
      <c r="AH16" s="16">
        <f t="shared" si="18"/>
        <v>0</v>
      </c>
      <c r="AI16" s="16">
        <f t="shared" si="19"/>
        <v>0</v>
      </c>
      <c r="AJ16" s="16">
        <f t="shared" si="20"/>
        <v>0</v>
      </c>
    </row>
    <row r="17" spans="1:36" ht="12.75" x14ac:dyDescent="0.2">
      <c r="A17" s="4" t="s">
        <v>52</v>
      </c>
      <c r="B17" s="4">
        <v>31</v>
      </c>
      <c r="C17" s="4">
        <v>5</v>
      </c>
      <c r="D17" s="5">
        <v>0.82</v>
      </c>
      <c r="E17" s="4">
        <v>65</v>
      </c>
      <c r="F17" s="4">
        <v>0</v>
      </c>
      <c r="G17" s="4">
        <v>70</v>
      </c>
      <c r="H17" s="9">
        <f t="shared" si="0"/>
        <v>56</v>
      </c>
      <c r="I17" s="10" t="s">
        <v>37</v>
      </c>
      <c r="J17" s="4">
        <f t="shared" si="1"/>
        <v>12</v>
      </c>
      <c r="K17" s="9">
        <f t="shared" si="2"/>
        <v>64.2</v>
      </c>
      <c r="L17" s="9">
        <f t="shared" si="3"/>
        <v>85</v>
      </c>
      <c r="M17" s="9">
        <f t="shared" si="4"/>
        <v>80.900000000000006</v>
      </c>
      <c r="N17" s="4">
        <f t="shared" si="21"/>
        <v>15</v>
      </c>
      <c r="O17" s="4">
        <f t="shared" si="5"/>
        <v>11</v>
      </c>
      <c r="P17" s="4">
        <f t="shared" si="6"/>
        <v>3</v>
      </c>
      <c r="Q17" s="4" t="str">
        <f t="shared" si="7"/>
        <v>Kích hoạt</v>
      </c>
      <c r="R17" s="4">
        <f t="shared" si="8"/>
        <v>3</v>
      </c>
      <c r="S17" s="13">
        <f t="shared" si="9"/>
        <v>0</v>
      </c>
      <c r="T17" s="4">
        <f t="shared" si="10"/>
        <v>0</v>
      </c>
      <c r="U17" s="4">
        <f t="shared" si="11"/>
        <v>14</v>
      </c>
      <c r="V17" s="4">
        <v>15</v>
      </c>
      <c r="W17" s="15">
        <v>46114</v>
      </c>
      <c r="X17" s="4">
        <v>14</v>
      </c>
      <c r="Y17" s="16">
        <f t="shared" si="12"/>
        <v>9000000</v>
      </c>
      <c r="Z17" s="17">
        <v>12</v>
      </c>
      <c r="AA17" s="9">
        <f t="shared" si="22"/>
        <v>17.333333333333332</v>
      </c>
      <c r="AB17" s="9">
        <f t="shared" si="23"/>
        <v>5.3333333333333321</v>
      </c>
      <c r="AC17" s="4" t="str">
        <f t="shared" si="13"/>
        <v>Hợp lệ</v>
      </c>
      <c r="AD17" s="16">
        <f t="shared" si="14"/>
        <v>7999999.9999999981</v>
      </c>
      <c r="AE17" s="16">
        <f t="shared" si="15"/>
        <v>0</v>
      </c>
      <c r="AF17" s="16">
        <f t="shared" si="16"/>
        <v>7999999.9999999981</v>
      </c>
      <c r="AG17" s="4">
        <f t="shared" si="17"/>
        <v>3</v>
      </c>
      <c r="AH17" s="16">
        <f t="shared" si="18"/>
        <v>3000000</v>
      </c>
      <c r="AI17" s="16">
        <f t="shared" si="19"/>
        <v>0</v>
      </c>
      <c r="AJ17" s="16">
        <f t="shared" si="20"/>
        <v>3000000</v>
      </c>
    </row>
    <row r="18" spans="1:36" ht="12.75" x14ac:dyDescent="0.2">
      <c r="A18" s="4" t="s">
        <v>53</v>
      </c>
      <c r="B18" s="4">
        <v>30</v>
      </c>
      <c r="C18" s="4">
        <v>65</v>
      </c>
      <c r="D18" s="5">
        <v>0.84</v>
      </c>
      <c r="E18" s="4">
        <v>18</v>
      </c>
      <c r="F18" s="4">
        <v>0</v>
      </c>
      <c r="G18" s="4">
        <v>65</v>
      </c>
      <c r="H18" s="9">
        <f t="shared" si="0"/>
        <v>52</v>
      </c>
      <c r="I18" s="10" t="s">
        <v>37</v>
      </c>
      <c r="J18" s="4">
        <f t="shared" si="1"/>
        <v>11</v>
      </c>
      <c r="K18" s="9">
        <f t="shared" si="2"/>
        <v>40.1</v>
      </c>
      <c r="L18" s="9">
        <f t="shared" si="3"/>
        <v>44.6</v>
      </c>
      <c r="M18" s="9">
        <f t="shared" si="4"/>
        <v>44.6</v>
      </c>
      <c r="N18" s="4">
        <f t="shared" si="21"/>
        <v>8</v>
      </c>
      <c r="O18" s="4">
        <f t="shared" si="5"/>
        <v>6</v>
      </c>
      <c r="P18" s="4">
        <f t="shared" si="6"/>
        <v>2</v>
      </c>
      <c r="Q18" s="4" t="str">
        <f t="shared" si="7"/>
        <v>Hủy slot (Mưa &gt; 20mm)</v>
      </c>
      <c r="R18" s="4">
        <f t="shared" si="8"/>
        <v>0</v>
      </c>
      <c r="S18" s="13">
        <f t="shared" si="9"/>
        <v>7200000</v>
      </c>
      <c r="T18" s="4">
        <f t="shared" si="10"/>
        <v>5</v>
      </c>
      <c r="U18" s="4">
        <f t="shared" si="11"/>
        <v>11</v>
      </c>
      <c r="V18" s="4">
        <v>16</v>
      </c>
      <c r="W18" s="4" t="s">
        <v>54</v>
      </c>
      <c r="X18" s="4">
        <v>12</v>
      </c>
      <c r="Y18" s="16">
        <f t="shared" si="12"/>
        <v>9000000</v>
      </c>
      <c r="Z18" s="17">
        <v>14</v>
      </c>
      <c r="AA18" s="9">
        <f t="shared" si="22"/>
        <v>14.666666666666666</v>
      </c>
      <c r="AB18" s="9">
        <f t="shared" si="23"/>
        <v>3.6666666666666661</v>
      </c>
      <c r="AC18" s="4" t="str">
        <f t="shared" si="13"/>
        <v>Loại</v>
      </c>
      <c r="AD18" s="16">
        <f t="shared" si="14"/>
        <v>5499999.9999999991</v>
      </c>
      <c r="AE18" s="16">
        <f t="shared" si="15"/>
        <v>0</v>
      </c>
      <c r="AF18" s="16">
        <f t="shared" si="16"/>
        <v>5499999.9999999991</v>
      </c>
      <c r="AG18" s="4">
        <f t="shared" si="17"/>
        <v>3</v>
      </c>
      <c r="AH18" s="16">
        <f t="shared" si="18"/>
        <v>0</v>
      </c>
      <c r="AI18" s="16">
        <f t="shared" si="19"/>
        <v>0</v>
      </c>
      <c r="AJ18" s="16">
        <f t="shared" si="20"/>
        <v>7200000</v>
      </c>
    </row>
    <row r="19" spans="1:36" ht="12.75" x14ac:dyDescent="0.2">
      <c r="A19" s="4" t="s">
        <v>55</v>
      </c>
      <c r="B19" s="4">
        <v>30</v>
      </c>
      <c r="C19" s="4">
        <v>20</v>
      </c>
      <c r="D19" s="5">
        <v>0.86</v>
      </c>
      <c r="E19" s="4">
        <v>25</v>
      </c>
      <c r="F19" s="4">
        <v>0</v>
      </c>
      <c r="G19" s="4">
        <v>80</v>
      </c>
      <c r="H19" s="9">
        <f t="shared" si="0"/>
        <v>64</v>
      </c>
      <c r="I19" s="10" t="s">
        <v>37</v>
      </c>
      <c r="J19" s="4">
        <f t="shared" si="1"/>
        <v>14</v>
      </c>
      <c r="K19" s="9">
        <f t="shared" si="2"/>
        <v>43.7</v>
      </c>
      <c r="L19" s="9">
        <f t="shared" si="3"/>
        <v>50.2</v>
      </c>
      <c r="M19" s="9">
        <f t="shared" si="4"/>
        <v>47.1</v>
      </c>
      <c r="N19" s="4">
        <f t="shared" si="21"/>
        <v>9</v>
      </c>
      <c r="O19" s="4">
        <f t="shared" si="5"/>
        <v>6</v>
      </c>
      <c r="P19" s="4">
        <f t="shared" si="6"/>
        <v>2</v>
      </c>
      <c r="Q19" s="4" t="str">
        <f t="shared" si="7"/>
        <v>Kích hoạt</v>
      </c>
      <c r="R19" s="4">
        <f t="shared" si="8"/>
        <v>2</v>
      </c>
      <c r="S19" s="13">
        <f t="shared" si="9"/>
        <v>0</v>
      </c>
      <c r="T19" s="4">
        <f t="shared" si="10"/>
        <v>6</v>
      </c>
      <c r="U19" s="4">
        <f t="shared" si="11"/>
        <v>14</v>
      </c>
      <c r="V19" s="4">
        <v>15</v>
      </c>
      <c r="W19" s="15">
        <v>46114</v>
      </c>
      <c r="X19" s="4">
        <v>16</v>
      </c>
      <c r="Y19" s="16">
        <f t="shared" si="12"/>
        <v>9000000</v>
      </c>
      <c r="Z19" s="17">
        <v>15</v>
      </c>
      <c r="AA19" s="9">
        <f t="shared" si="22"/>
        <v>12.666666666666666</v>
      </c>
      <c r="AB19" s="9">
        <f t="shared" si="23"/>
        <v>1.3333333333333339</v>
      </c>
      <c r="AC19" s="4" t="str">
        <f t="shared" si="13"/>
        <v>Hợp lệ</v>
      </c>
      <c r="AD19" s="16">
        <f t="shared" si="14"/>
        <v>0</v>
      </c>
      <c r="AE19" s="16">
        <f t="shared" si="15"/>
        <v>6000000.0000000028</v>
      </c>
      <c r="AF19" s="16">
        <f t="shared" si="16"/>
        <v>6000000.0000000028</v>
      </c>
      <c r="AG19" s="4">
        <f t="shared" si="17"/>
        <v>5</v>
      </c>
      <c r="AH19" s="16">
        <f t="shared" si="18"/>
        <v>0</v>
      </c>
      <c r="AI19" s="16">
        <f t="shared" si="19"/>
        <v>0</v>
      </c>
      <c r="AJ19" s="16">
        <f t="shared" si="20"/>
        <v>0</v>
      </c>
    </row>
    <row r="20" spans="1:36" ht="12.75" x14ac:dyDescent="0.2">
      <c r="A20" s="4" t="s">
        <v>56</v>
      </c>
      <c r="B20" s="4">
        <v>32</v>
      </c>
      <c r="C20" s="4">
        <v>0</v>
      </c>
      <c r="D20" s="5">
        <v>0.89</v>
      </c>
      <c r="E20" s="4">
        <v>55</v>
      </c>
      <c r="F20" s="4">
        <v>0</v>
      </c>
      <c r="G20" s="4">
        <v>75</v>
      </c>
      <c r="H20" s="9">
        <f t="shared" si="0"/>
        <v>60</v>
      </c>
      <c r="I20" s="10" t="s">
        <v>37</v>
      </c>
      <c r="J20" s="4">
        <f t="shared" si="1"/>
        <v>13</v>
      </c>
      <c r="K20" s="9">
        <f t="shared" si="2"/>
        <v>59.1</v>
      </c>
      <c r="L20" s="9">
        <f t="shared" si="3"/>
        <v>64.5</v>
      </c>
      <c r="M20" s="9">
        <f t="shared" si="4"/>
        <v>60.8</v>
      </c>
      <c r="N20" s="4">
        <f t="shared" si="21"/>
        <v>11</v>
      </c>
      <c r="O20" s="4">
        <f t="shared" si="5"/>
        <v>8</v>
      </c>
      <c r="P20" s="4">
        <f t="shared" si="6"/>
        <v>2</v>
      </c>
      <c r="Q20" s="4" t="str">
        <f t="shared" si="7"/>
        <v>Kích hoạt</v>
      </c>
      <c r="R20" s="4">
        <f t="shared" si="8"/>
        <v>2</v>
      </c>
      <c r="S20" s="13">
        <f t="shared" si="9"/>
        <v>0</v>
      </c>
      <c r="T20" s="4">
        <f t="shared" si="10"/>
        <v>3</v>
      </c>
      <c r="U20" s="4">
        <f t="shared" si="11"/>
        <v>13</v>
      </c>
      <c r="V20" s="4">
        <v>15</v>
      </c>
      <c r="W20" s="15">
        <v>46114</v>
      </c>
      <c r="X20" s="4">
        <v>14</v>
      </c>
      <c r="Y20" s="16">
        <f t="shared" si="12"/>
        <v>9000000</v>
      </c>
      <c r="Z20" s="17">
        <v>12</v>
      </c>
      <c r="AA20" s="9">
        <f t="shared" si="22"/>
        <v>12.333333333333334</v>
      </c>
      <c r="AB20" s="9">
        <f t="shared" si="23"/>
        <v>0.66666666666666607</v>
      </c>
      <c r="AC20" s="4" t="str">
        <f t="shared" si="13"/>
        <v>Hợp lệ</v>
      </c>
      <c r="AD20" s="16">
        <f t="shared" si="14"/>
        <v>0</v>
      </c>
      <c r="AE20" s="16">
        <f t="shared" si="15"/>
        <v>2999999.9999999972</v>
      </c>
      <c r="AF20" s="16">
        <f t="shared" si="16"/>
        <v>2999999.9999999972</v>
      </c>
      <c r="AG20" s="4">
        <f t="shared" si="17"/>
        <v>2</v>
      </c>
      <c r="AH20" s="16">
        <f t="shared" si="18"/>
        <v>0</v>
      </c>
      <c r="AI20" s="16">
        <f t="shared" si="19"/>
        <v>0</v>
      </c>
      <c r="AJ20" s="16">
        <f t="shared" si="20"/>
        <v>0</v>
      </c>
    </row>
    <row r="21" spans="1:36" ht="12.75" x14ac:dyDescent="0.2">
      <c r="A21" s="4" t="s">
        <v>57</v>
      </c>
      <c r="B21" s="4">
        <v>31</v>
      </c>
      <c r="C21" s="4">
        <v>0</v>
      </c>
      <c r="D21" s="5">
        <v>0.91</v>
      </c>
      <c r="E21" s="4">
        <v>68</v>
      </c>
      <c r="F21" s="4">
        <v>1</v>
      </c>
      <c r="G21" s="4">
        <v>85</v>
      </c>
      <c r="H21" s="9">
        <f t="shared" si="0"/>
        <v>72.25</v>
      </c>
      <c r="I21" s="10" t="s">
        <v>37</v>
      </c>
      <c r="J21" s="4">
        <f t="shared" si="1"/>
        <v>16</v>
      </c>
      <c r="K21" s="9">
        <f t="shared" si="2"/>
        <v>65.8</v>
      </c>
      <c r="L21" s="9">
        <f t="shared" si="3"/>
        <v>84.1</v>
      </c>
      <c r="M21" s="9">
        <f t="shared" si="4"/>
        <v>88.2</v>
      </c>
      <c r="N21" s="4">
        <f t="shared" si="21"/>
        <v>15</v>
      </c>
      <c r="O21" s="4">
        <f t="shared" si="5"/>
        <v>11</v>
      </c>
      <c r="P21" s="4">
        <f t="shared" si="6"/>
        <v>3</v>
      </c>
      <c r="Q21" s="4" t="str">
        <f t="shared" si="7"/>
        <v>Kích hoạt</v>
      </c>
      <c r="R21" s="4">
        <f t="shared" si="8"/>
        <v>3</v>
      </c>
      <c r="S21" s="13">
        <f t="shared" si="9"/>
        <v>0</v>
      </c>
      <c r="T21" s="4">
        <f t="shared" si="10"/>
        <v>2</v>
      </c>
      <c r="U21" s="4">
        <f t="shared" si="11"/>
        <v>16</v>
      </c>
      <c r="V21" s="4">
        <v>10</v>
      </c>
      <c r="W21" s="15">
        <v>46114</v>
      </c>
      <c r="X21" s="4">
        <v>20</v>
      </c>
      <c r="Y21" s="16">
        <f t="shared" si="12"/>
        <v>11700000</v>
      </c>
      <c r="Z21" s="17">
        <v>16</v>
      </c>
      <c r="AA21" s="9">
        <f t="shared" si="22"/>
        <v>12.666666666666666</v>
      </c>
      <c r="AB21" s="9">
        <f t="shared" si="23"/>
        <v>3.3333333333333339</v>
      </c>
      <c r="AC21" s="4" t="str">
        <f t="shared" si="13"/>
        <v>Hợp lệ</v>
      </c>
      <c r="AD21" s="16">
        <f t="shared" si="14"/>
        <v>0</v>
      </c>
      <c r="AE21" s="16">
        <f t="shared" si="15"/>
        <v>15000000.000000002</v>
      </c>
      <c r="AF21" s="16">
        <f t="shared" si="16"/>
        <v>15000000.000000002</v>
      </c>
      <c r="AG21" s="4">
        <f t="shared" si="17"/>
        <v>1</v>
      </c>
      <c r="AH21" s="16">
        <f t="shared" si="18"/>
        <v>0</v>
      </c>
      <c r="AI21" s="16">
        <f t="shared" si="19"/>
        <v>0</v>
      </c>
      <c r="AJ21" s="16">
        <f t="shared" si="20"/>
        <v>0</v>
      </c>
    </row>
    <row r="22" spans="1:36" ht="12.75" x14ac:dyDescent="0.2">
      <c r="A22" s="4" t="s">
        <v>58</v>
      </c>
      <c r="B22" s="4">
        <v>33</v>
      </c>
      <c r="C22" s="4">
        <v>0</v>
      </c>
      <c r="D22" s="5">
        <v>0.93</v>
      </c>
      <c r="E22" s="4">
        <v>75</v>
      </c>
      <c r="F22" s="4">
        <v>1</v>
      </c>
      <c r="G22" s="4">
        <v>60</v>
      </c>
      <c r="H22" s="9">
        <f t="shared" si="0"/>
        <v>51</v>
      </c>
      <c r="I22" s="10" t="s">
        <v>37</v>
      </c>
      <c r="J22" s="4">
        <f t="shared" si="1"/>
        <v>11</v>
      </c>
      <c r="K22" s="9">
        <f t="shared" si="2"/>
        <v>69.400000000000006</v>
      </c>
      <c r="L22" s="9">
        <f t="shared" si="3"/>
        <v>75.8</v>
      </c>
      <c r="M22" s="9">
        <f t="shared" si="4"/>
        <v>80.900000000000006</v>
      </c>
      <c r="N22" s="4">
        <f t="shared" si="21"/>
        <v>14</v>
      </c>
      <c r="O22" s="4">
        <f t="shared" si="5"/>
        <v>10</v>
      </c>
      <c r="P22" s="4">
        <f t="shared" si="6"/>
        <v>3</v>
      </c>
      <c r="Q22" s="4" t="str">
        <f t="shared" si="7"/>
        <v>Kích hoạt</v>
      </c>
      <c r="R22" s="4">
        <f t="shared" si="8"/>
        <v>3</v>
      </c>
      <c r="S22" s="13">
        <f t="shared" si="9"/>
        <v>0</v>
      </c>
      <c r="T22" s="4">
        <f t="shared" si="10"/>
        <v>0</v>
      </c>
      <c r="U22" s="4">
        <f t="shared" si="11"/>
        <v>13</v>
      </c>
      <c r="V22" s="4">
        <v>11</v>
      </c>
      <c r="W22" s="15">
        <v>46114</v>
      </c>
      <c r="X22" s="4">
        <v>8</v>
      </c>
      <c r="Y22" s="16">
        <f t="shared" si="12"/>
        <v>11700000</v>
      </c>
      <c r="Z22" s="17">
        <v>8</v>
      </c>
      <c r="AA22" s="9">
        <f t="shared" si="22"/>
        <v>14.333333333333334</v>
      </c>
      <c r="AB22" s="9">
        <f t="shared" si="23"/>
        <v>3.3333333333333339</v>
      </c>
      <c r="AC22" s="4" t="str">
        <f t="shared" si="13"/>
        <v>Hợp lệ</v>
      </c>
      <c r="AD22" s="16">
        <f t="shared" si="14"/>
        <v>5000000.0000000009</v>
      </c>
      <c r="AE22" s="16">
        <f t="shared" si="15"/>
        <v>0</v>
      </c>
      <c r="AF22" s="16">
        <f t="shared" si="16"/>
        <v>5000000.0000000009</v>
      </c>
      <c r="AG22" s="4">
        <f t="shared" si="17"/>
        <v>3</v>
      </c>
      <c r="AH22" s="16">
        <f t="shared" si="18"/>
        <v>3000000</v>
      </c>
      <c r="AI22" s="16">
        <f t="shared" si="19"/>
        <v>0</v>
      </c>
      <c r="AJ22" s="16">
        <f t="shared" si="20"/>
        <v>3000000</v>
      </c>
    </row>
    <row r="23" spans="1:36" ht="12.75" x14ac:dyDescent="0.2">
      <c r="A23" s="4" t="s">
        <v>59</v>
      </c>
      <c r="B23" s="4">
        <v>34</v>
      </c>
      <c r="C23" s="4">
        <v>0</v>
      </c>
      <c r="D23" s="5">
        <v>0.95</v>
      </c>
      <c r="E23" s="4">
        <v>80</v>
      </c>
      <c r="F23" s="4">
        <v>0</v>
      </c>
      <c r="G23" s="4">
        <v>70</v>
      </c>
      <c r="H23" s="9">
        <f t="shared" si="0"/>
        <v>56</v>
      </c>
      <c r="I23" s="10" t="s">
        <v>37</v>
      </c>
      <c r="J23" s="4">
        <f t="shared" si="1"/>
        <v>12</v>
      </c>
      <c r="K23" s="9">
        <f t="shared" si="2"/>
        <v>71.900000000000006</v>
      </c>
      <c r="L23" s="9">
        <f t="shared" si="3"/>
        <v>72.8</v>
      </c>
      <c r="M23" s="9">
        <f t="shared" si="4"/>
        <v>69.7</v>
      </c>
      <c r="N23" s="4">
        <f t="shared" si="21"/>
        <v>13</v>
      </c>
      <c r="O23" s="4">
        <f t="shared" si="5"/>
        <v>9</v>
      </c>
      <c r="P23" s="4">
        <f t="shared" si="6"/>
        <v>3</v>
      </c>
      <c r="Q23" s="4" t="str">
        <f t="shared" si="7"/>
        <v>Kích hoạt</v>
      </c>
      <c r="R23" s="4">
        <f t="shared" si="8"/>
        <v>3</v>
      </c>
      <c r="S23" s="13">
        <f t="shared" si="9"/>
        <v>0</v>
      </c>
      <c r="T23" s="4">
        <f t="shared" si="10"/>
        <v>0</v>
      </c>
      <c r="U23" s="4">
        <f t="shared" si="11"/>
        <v>12</v>
      </c>
      <c r="V23" s="4">
        <v>16</v>
      </c>
      <c r="W23" s="15">
        <v>46114</v>
      </c>
      <c r="X23" s="4">
        <v>10</v>
      </c>
      <c r="Y23" s="16">
        <f t="shared" si="12"/>
        <v>11700000</v>
      </c>
      <c r="Z23" s="17">
        <v>10</v>
      </c>
      <c r="AA23" s="9">
        <f t="shared" si="22"/>
        <v>13.333333333333334</v>
      </c>
      <c r="AB23" s="9">
        <f t="shared" si="23"/>
        <v>1.3333333333333339</v>
      </c>
      <c r="AC23" s="4" t="str">
        <f t="shared" si="13"/>
        <v>Hợp lệ</v>
      </c>
      <c r="AD23" s="16">
        <f t="shared" si="14"/>
        <v>2000000.0000000009</v>
      </c>
      <c r="AE23" s="16">
        <f t="shared" si="15"/>
        <v>0</v>
      </c>
      <c r="AF23" s="16">
        <f t="shared" si="16"/>
        <v>2000000.0000000009</v>
      </c>
      <c r="AG23" s="4">
        <f t="shared" si="17"/>
        <v>1</v>
      </c>
      <c r="AH23" s="16">
        <f t="shared" si="18"/>
        <v>0</v>
      </c>
      <c r="AI23" s="16">
        <f t="shared" si="19"/>
        <v>0</v>
      </c>
      <c r="AJ23" s="16">
        <f t="shared" si="20"/>
        <v>0</v>
      </c>
    </row>
    <row r="24" spans="1:36" ht="12.75" x14ac:dyDescent="0.2">
      <c r="A24" s="4" t="s">
        <v>60</v>
      </c>
      <c r="B24" s="4">
        <v>35</v>
      </c>
      <c r="C24" s="4">
        <v>0</v>
      </c>
      <c r="D24" s="5">
        <v>0.97</v>
      </c>
      <c r="E24" s="4">
        <v>90</v>
      </c>
      <c r="F24" s="4">
        <v>0</v>
      </c>
      <c r="G24" s="4">
        <v>80</v>
      </c>
      <c r="H24" s="9">
        <f t="shared" si="0"/>
        <v>64</v>
      </c>
      <c r="I24" s="10" t="s">
        <v>37</v>
      </c>
      <c r="J24" s="4">
        <f t="shared" si="1"/>
        <v>14</v>
      </c>
      <c r="K24" s="9">
        <f t="shared" si="2"/>
        <v>77.099999999999994</v>
      </c>
      <c r="L24" s="9">
        <f t="shared" si="3"/>
        <v>74.8</v>
      </c>
      <c r="M24" s="9">
        <f t="shared" si="4"/>
        <v>72.099999999999994</v>
      </c>
      <c r="N24" s="4">
        <f t="shared" si="21"/>
        <v>13</v>
      </c>
      <c r="O24" s="4">
        <f t="shared" si="5"/>
        <v>9</v>
      </c>
      <c r="P24" s="4">
        <f t="shared" si="6"/>
        <v>3</v>
      </c>
      <c r="Q24" s="4" t="str">
        <f t="shared" si="7"/>
        <v>Kích hoạt</v>
      </c>
      <c r="R24" s="4">
        <f t="shared" si="8"/>
        <v>3</v>
      </c>
      <c r="S24" s="13">
        <f t="shared" si="9"/>
        <v>0</v>
      </c>
      <c r="T24" s="4">
        <f t="shared" si="10"/>
        <v>2</v>
      </c>
      <c r="U24" s="4">
        <f t="shared" si="11"/>
        <v>14</v>
      </c>
      <c r="V24" s="4">
        <v>15</v>
      </c>
      <c r="W24" s="15">
        <v>46114</v>
      </c>
      <c r="X24" s="4">
        <v>14</v>
      </c>
      <c r="Y24" s="16">
        <f t="shared" si="12"/>
        <v>11700000</v>
      </c>
      <c r="Z24" s="17">
        <v>14</v>
      </c>
      <c r="AA24" s="9">
        <f t="shared" si="22"/>
        <v>13</v>
      </c>
      <c r="AB24" s="9">
        <f t="shared" si="23"/>
        <v>1</v>
      </c>
      <c r="AC24" s="4" t="str">
        <f t="shared" si="13"/>
        <v>Hợp lệ</v>
      </c>
      <c r="AD24" s="16">
        <f t="shared" si="14"/>
        <v>0</v>
      </c>
      <c r="AE24" s="16">
        <f t="shared" si="15"/>
        <v>4500000</v>
      </c>
      <c r="AF24" s="16">
        <f t="shared" si="16"/>
        <v>4500000</v>
      </c>
      <c r="AG24" s="4">
        <f t="shared" si="17"/>
        <v>1</v>
      </c>
      <c r="AH24" s="16">
        <f t="shared" si="18"/>
        <v>0</v>
      </c>
      <c r="AI24" s="16">
        <f t="shared" si="19"/>
        <v>0</v>
      </c>
      <c r="AJ24" s="16">
        <f t="shared" si="20"/>
        <v>0</v>
      </c>
    </row>
    <row r="25" spans="1:36" ht="12.75" x14ac:dyDescent="0.2">
      <c r="A25" s="4" t="s">
        <v>61</v>
      </c>
      <c r="B25" s="4">
        <v>38</v>
      </c>
      <c r="C25" s="4">
        <v>0</v>
      </c>
      <c r="D25" s="5">
        <v>0.99</v>
      </c>
      <c r="E25" s="4">
        <v>110</v>
      </c>
      <c r="F25" s="4">
        <v>0</v>
      </c>
      <c r="G25" s="4">
        <v>65</v>
      </c>
      <c r="H25" s="9">
        <f t="shared" si="0"/>
        <v>52</v>
      </c>
      <c r="I25" s="10" t="s">
        <v>37</v>
      </c>
      <c r="J25" s="4">
        <f t="shared" si="1"/>
        <v>11</v>
      </c>
      <c r="K25" s="9">
        <f t="shared" si="2"/>
        <v>87.4</v>
      </c>
      <c r="L25" s="9">
        <f t="shared" si="3"/>
        <v>72.400000000000006</v>
      </c>
      <c r="M25" s="9">
        <f t="shared" si="4"/>
        <v>71.2</v>
      </c>
      <c r="N25" s="4">
        <f t="shared" si="21"/>
        <v>13</v>
      </c>
      <c r="O25" s="4">
        <f t="shared" si="5"/>
        <v>9</v>
      </c>
      <c r="P25" s="4">
        <f t="shared" si="6"/>
        <v>3</v>
      </c>
      <c r="Q25" s="4" t="str">
        <f t="shared" si="7"/>
        <v>Kích hoạt</v>
      </c>
      <c r="R25" s="4">
        <f t="shared" si="8"/>
        <v>3</v>
      </c>
      <c r="S25" s="13">
        <f t="shared" si="9"/>
        <v>0</v>
      </c>
      <c r="T25" s="4">
        <f t="shared" si="10"/>
        <v>0</v>
      </c>
      <c r="U25" s="4">
        <f t="shared" si="11"/>
        <v>12</v>
      </c>
      <c r="V25" s="4">
        <v>16</v>
      </c>
      <c r="W25" s="15">
        <v>46114</v>
      </c>
      <c r="X25" s="4">
        <v>8</v>
      </c>
      <c r="Y25" s="16">
        <f t="shared" si="12"/>
        <v>11700000</v>
      </c>
      <c r="Z25" s="17">
        <v>8</v>
      </c>
      <c r="AA25" s="9">
        <f t="shared" si="22"/>
        <v>12.333333333333334</v>
      </c>
      <c r="AB25" s="9">
        <f t="shared" si="23"/>
        <v>1.3333333333333339</v>
      </c>
      <c r="AC25" s="4" t="str">
        <f t="shared" si="13"/>
        <v>Hợp lệ</v>
      </c>
      <c r="AD25" s="16">
        <f t="shared" si="14"/>
        <v>2000000.0000000009</v>
      </c>
      <c r="AE25" s="16">
        <f t="shared" si="15"/>
        <v>0</v>
      </c>
      <c r="AF25" s="16">
        <f t="shared" si="16"/>
        <v>2000000.0000000009</v>
      </c>
      <c r="AG25" s="4">
        <f t="shared" si="17"/>
        <v>2</v>
      </c>
      <c r="AH25" s="16">
        <f t="shared" si="18"/>
        <v>1500000</v>
      </c>
      <c r="AI25" s="16">
        <f t="shared" si="19"/>
        <v>0</v>
      </c>
      <c r="AJ25" s="16">
        <f t="shared" si="20"/>
        <v>1500000</v>
      </c>
    </row>
    <row r="26" spans="1:36" ht="12.75" x14ac:dyDescent="0.2">
      <c r="A26" s="4" t="s">
        <v>62</v>
      </c>
      <c r="B26" s="4">
        <v>35</v>
      </c>
      <c r="C26" s="4">
        <v>0</v>
      </c>
      <c r="D26" s="5">
        <v>1</v>
      </c>
      <c r="E26" s="4">
        <v>88</v>
      </c>
      <c r="F26" s="4">
        <v>0</v>
      </c>
      <c r="G26" s="4">
        <v>50</v>
      </c>
      <c r="H26" s="9">
        <f t="shared" si="0"/>
        <v>40</v>
      </c>
      <c r="I26" s="10" t="s">
        <v>37</v>
      </c>
      <c r="J26" s="4">
        <f t="shared" si="1"/>
        <v>9</v>
      </c>
      <c r="K26" s="9">
        <f t="shared" si="2"/>
        <v>76.099999999999994</v>
      </c>
      <c r="L26" s="9">
        <f t="shared" si="3"/>
        <v>71.5</v>
      </c>
      <c r="M26" s="9">
        <f t="shared" si="4"/>
        <v>68.7</v>
      </c>
      <c r="N26" s="4">
        <f t="shared" si="21"/>
        <v>12</v>
      </c>
      <c r="O26" s="4">
        <f t="shared" si="5"/>
        <v>8</v>
      </c>
      <c r="P26" s="4">
        <f t="shared" si="6"/>
        <v>2</v>
      </c>
      <c r="Q26" s="4" t="str">
        <f t="shared" si="7"/>
        <v>Kích hoạt</v>
      </c>
      <c r="R26" s="4">
        <f t="shared" si="8"/>
        <v>2</v>
      </c>
      <c r="S26" s="13">
        <f t="shared" si="9"/>
        <v>0</v>
      </c>
      <c r="T26" s="4">
        <f t="shared" si="10"/>
        <v>0</v>
      </c>
      <c r="U26" s="4">
        <f t="shared" si="11"/>
        <v>10</v>
      </c>
      <c r="V26" s="4">
        <v>15</v>
      </c>
      <c r="W26" s="15">
        <v>46114</v>
      </c>
      <c r="X26" s="4">
        <v>4</v>
      </c>
      <c r="Y26" s="16">
        <f t="shared" si="12"/>
        <v>11700000</v>
      </c>
      <c r="Z26" s="17">
        <v>5</v>
      </c>
      <c r="AA26" s="9">
        <f t="shared" si="22"/>
        <v>12.333333333333334</v>
      </c>
      <c r="AB26" s="9">
        <f t="shared" si="23"/>
        <v>3.3333333333333339</v>
      </c>
      <c r="AC26" s="4" t="str">
        <f t="shared" si="13"/>
        <v>Hợp lệ</v>
      </c>
      <c r="AD26" s="16">
        <f t="shared" si="14"/>
        <v>5000000.0000000009</v>
      </c>
      <c r="AE26" s="16">
        <f t="shared" si="15"/>
        <v>0</v>
      </c>
      <c r="AF26" s="16">
        <f t="shared" si="16"/>
        <v>5000000.0000000009</v>
      </c>
      <c r="AG26" s="4">
        <f t="shared" si="17"/>
        <v>3</v>
      </c>
      <c r="AH26" s="16">
        <f t="shared" si="18"/>
        <v>1500000</v>
      </c>
      <c r="AI26" s="16">
        <f t="shared" si="19"/>
        <v>0</v>
      </c>
      <c r="AJ26" s="16">
        <f t="shared" si="20"/>
        <v>1500000</v>
      </c>
    </row>
    <row r="27" spans="1:36" ht="12.75" x14ac:dyDescent="0.2">
      <c r="A27" s="4" t="s">
        <v>63</v>
      </c>
      <c r="B27" s="4">
        <v>30</v>
      </c>
      <c r="C27" s="4">
        <v>75</v>
      </c>
      <c r="D27" s="5">
        <v>1</v>
      </c>
      <c r="E27" s="4">
        <v>15</v>
      </c>
      <c r="F27" s="4">
        <v>0</v>
      </c>
      <c r="G27" s="4">
        <v>15</v>
      </c>
      <c r="H27" s="9">
        <f t="shared" si="0"/>
        <v>12</v>
      </c>
      <c r="I27" s="10" t="s">
        <v>37</v>
      </c>
      <c r="J27" s="4">
        <f t="shared" si="1"/>
        <v>3</v>
      </c>
      <c r="K27" s="9">
        <f t="shared" si="2"/>
        <v>38.5</v>
      </c>
      <c r="L27" s="9">
        <f t="shared" si="3"/>
        <v>34.799999999999997</v>
      </c>
      <c r="M27" s="9">
        <f t="shared" si="4"/>
        <v>35.200000000000003</v>
      </c>
      <c r="N27" s="4">
        <f t="shared" si="21"/>
        <v>6</v>
      </c>
      <c r="O27" s="4">
        <f t="shared" si="5"/>
        <v>4</v>
      </c>
      <c r="P27" s="4">
        <f t="shared" si="6"/>
        <v>1</v>
      </c>
      <c r="Q27" s="4" t="str">
        <f t="shared" si="7"/>
        <v>Hủy slot (Mưa &gt; 20mm)</v>
      </c>
      <c r="R27" s="4">
        <f t="shared" si="8"/>
        <v>0</v>
      </c>
      <c r="S27" s="13">
        <f t="shared" si="9"/>
        <v>3600000</v>
      </c>
      <c r="T27" s="4">
        <f t="shared" si="10"/>
        <v>0</v>
      </c>
      <c r="U27" s="4">
        <f t="shared" si="11"/>
        <v>4</v>
      </c>
      <c r="V27" s="4">
        <v>16</v>
      </c>
      <c r="W27" s="15">
        <v>46114</v>
      </c>
      <c r="X27" s="4">
        <v>1</v>
      </c>
      <c r="Y27" s="16">
        <f t="shared" si="12"/>
        <v>9000000</v>
      </c>
      <c r="Z27" s="17">
        <v>1</v>
      </c>
      <c r="AA27" s="9">
        <f t="shared" si="22"/>
        <v>11.333333333333334</v>
      </c>
      <c r="AB27" s="9">
        <f t="shared" si="23"/>
        <v>8.3333333333333339</v>
      </c>
      <c r="AC27" s="4" t="str">
        <f t="shared" si="13"/>
        <v>Hợp lệ</v>
      </c>
      <c r="AD27" s="16">
        <f t="shared" si="14"/>
        <v>12500000</v>
      </c>
      <c r="AE27" s="16">
        <f t="shared" si="15"/>
        <v>0</v>
      </c>
      <c r="AF27" s="16">
        <f t="shared" si="16"/>
        <v>12500000</v>
      </c>
      <c r="AG27" s="4">
        <f t="shared" si="17"/>
        <v>3</v>
      </c>
      <c r="AH27" s="16">
        <f t="shared" si="18"/>
        <v>1500000</v>
      </c>
      <c r="AI27" s="16">
        <f t="shared" si="19"/>
        <v>0</v>
      </c>
      <c r="AJ27" s="16">
        <f t="shared" si="20"/>
        <v>5100000</v>
      </c>
    </row>
    <row r="28" spans="1:36" ht="12.75" x14ac:dyDescent="0.2">
      <c r="A28" s="4" t="s">
        <v>64</v>
      </c>
      <c r="B28" s="4">
        <v>30</v>
      </c>
      <c r="C28" s="4">
        <v>0</v>
      </c>
      <c r="D28" s="5">
        <v>1</v>
      </c>
      <c r="E28" s="4">
        <v>38</v>
      </c>
      <c r="F28" s="4">
        <v>1</v>
      </c>
      <c r="G28" s="4">
        <v>55</v>
      </c>
      <c r="H28" s="9">
        <f t="shared" si="0"/>
        <v>46.75</v>
      </c>
      <c r="I28" s="10" t="s">
        <v>37</v>
      </c>
      <c r="J28" s="4">
        <f t="shared" si="1"/>
        <v>10</v>
      </c>
      <c r="K28" s="9">
        <f t="shared" si="2"/>
        <v>50.3</v>
      </c>
      <c r="L28" s="9">
        <f t="shared" si="3"/>
        <v>57</v>
      </c>
      <c r="M28" s="9">
        <f t="shared" si="4"/>
        <v>60.9</v>
      </c>
      <c r="N28" s="4">
        <f t="shared" si="21"/>
        <v>11</v>
      </c>
      <c r="O28" s="4">
        <f t="shared" si="5"/>
        <v>8</v>
      </c>
      <c r="P28" s="4">
        <f t="shared" si="6"/>
        <v>2</v>
      </c>
      <c r="Q28" s="4" t="str">
        <f t="shared" si="7"/>
        <v>Kích hoạt</v>
      </c>
      <c r="R28" s="4">
        <f t="shared" si="8"/>
        <v>2</v>
      </c>
      <c r="S28" s="13">
        <f t="shared" si="9"/>
        <v>0</v>
      </c>
      <c r="T28" s="4">
        <f t="shared" si="10"/>
        <v>0</v>
      </c>
      <c r="U28" s="4">
        <f t="shared" si="11"/>
        <v>10</v>
      </c>
      <c r="V28" s="4">
        <v>12</v>
      </c>
      <c r="W28" s="15">
        <v>46114</v>
      </c>
      <c r="X28" s="4">
        <v>6</v>
      </c>
      <c r="Y28" s="16">
        <f t="shared" si="12"/>
        <v>11700000</v>
      </c>
      <c r="Z28" s="17">
        <v>6</v>
      </c>
      <c r="AA28" s="9">
        <f t="shared" si="22"/>
        <v>7.666666666666667</v>
      </c>
      <c r="AB28" s="9">
        <f t="shared" si="23"/>
        <v>2.333333333333333</v>
      </c>
      <c r="AC28" s="4" t="str">
        <f t="shared" si="13"/>
        <v>Hợp lệ</v>
      </c>
      <c r="AD28" s="16">
        <f t="shared" si="14"/>
        <v>0</v>
      </c>
      <c r="AE28" s="16">
        <f t="shared" si="15"/>
        <v>10499999.999999998</v>
      </c>
      <c r="AF28" s="16">
        <f t="shared" si="16"/>
        <v>10499999.999999998</v>
      </c>
      <c r="AG28" s="4">
        <f t="shared" si="17"/>
        <v>1</v>
      </c>
      <c r="AH28" s="16">
        <f t="shared" si="18"/>
        <v>0</v>
      </c>
      <c r="AI28" s="16">
        <f t="shared" si="19"/>
        <v>0</v>
      </c>
      <c r="AJ28" s="16">
        <f t="shared" si="20"/>
        <v>0</v>
      </c>
    </row>
    <row r="29" spans="1:36" ht="12.75" x14ac:dyDescent="0.2">
      <c r="A29" s="4" t="s">
        <v>65</v>
      </c>
      <c r="B29" s="4">
        <v>32</v>
      </c>
      <c r="C29" s="4">
        <v>0</v>
      </c>
      <c r="D29" s="5">
        <v>1</v>
      </c>
      <c r="E29" s="4">
        <v>32</v>
      </c>
      <c r="F29" s="4">
        <v>1</v>
      </c>
      <c r="G29" s="4">
        <v>40</v>
      </c>
      <c r="H29" s="9">
        <f t="shared" si="0"/>
        <v>34</v>
      </c>
      <c r="I29" s="10" t="s">
        <v>37</v>
      </c>
      <c r="J29" s="4">
        <f t="shared" si="1"/>
        <v>8</v>
      </c>
      <c r="K29" s="9">
        <f t="shared" si="2"/>
        <v>47.3</v>
      </c>
      <c r="L29" s="9">
        <f t="shared" si="3"/>
        <v>36.4</v>
      </c>
      <c r="M29" s="9">
        <f t="shared" si="4"/>
        <v>41.6</v>
      </c>
      <c r="N29" s="4">
        <f t="shared" si="21"/>
        <v>7</v>
      </c>
      <c r="O29" s="4">
        <f t="shared" si="5"/>
        <v>5</v>
      </c>
      <c r="P29" s="4">
        <f t="shared" si="6"/>
        <v>1</v>
      </c>
      <c r="Q29" s="4" t="str">
        <f t="shared" si="7"/>
        <v>Kích hoạt</v>
      </c>
      <c r="R29" s="4">
        <f t="shared" si="8"/>
        <v>1</v>
      </c>
      <c r="S29" s="13">
        <f t="shared" si="9"/>
        <v>0</v>
      </c>
      <c r="T29" s="4">
        <f t="shared" si="10"/>
        <v>2</v>
      </c>
      <c r="U29" s="4">
        <f t="shared" si="11"/>
        <v>8</v>
      </c>
      <c r="V29" s="4">
        <v>12</v>
      </c>
      <c r="W29" s="15">
        <v>46114</v>
      </c>
      <c r="X29" s="4">
        <v>3</v>
      </c>
      <c r="Y29" s="16">
        <f t="shared" si="12"/>
        <v>11700000</v>
      </c>
      <c r="Z29" s="17">
        <v>3</v>
      </c>
      <c r="AA29" s="9">
        <f t="shared" si="22"/>
        <v>7.333333333333333</v>
      </c>
      <c r="AB29" s="9">
        <f t="shared" si="23"/>
        <v>0.66666666666666696</v>
      </c>
      <c r="AC29" s="4" t="str">
        <f t="shared" si="13"/>
        <v>Hợp lệ</v>
      </c>
      <c r="AD29" s="16">
        <f t="shared" si="14"/>
        <v>0</v>
      </c>
      <c r="AE29" s="16">
        <f t="shared" si="15"/>
        <v>3000000.0000000014</v>
      </c>
      <c r="AF29" s="16">
        <f t="shared" si="16"/>
        <v>3000000.0000000014</v>
      </c>
      <c r="AG29" s="4">
        <f t="shared" si="17"/>
        <v>1</v>
      </c>
      <c r="AH29" s="16">
        <f t="shared" si="18"/>
        <v>0</v>
      </c>
      <c r="AI29" s="16">
        <f t="shared" si="19"/>
        <v>0</v>
      </c>
      <c r="AJ29" s="16">
        <f t="shared" si="20"/>
        <v>0</v>
      </c>
    </row>
    <row r="30" spans="1:36" ht="12.75" x14ac:dyDescent="0.2">
      <c r="A30" s="4" t="s">
        <v>66</v>
      </c>
      <c r="B30" s="4">
        <v>32</v>
      </c>
      <c r="C30" s="4">
        <v>0</v>
      </c>
      <c r="D30" s="5">
        <v>1</v>
      </c>
      <c r="E30" s="4">
        <v>25</v>
      </c>
      <c r="F30" s="4">
        <v>0</v>
      </c>
      <c r="G30" s="4">
        <v>35</v>
      </c>
      <c r="H30" s="9">
        <f t="shared" si="0"/>
        <v>28</v>
      </c>
      <c r="I30" s="10" t="s">
        <v>37</v>
      </c>
      <c r="J30" s="4">
        <f t="shared" si="1"/>
        <v>6</v>
      </c>
      <c r="K30" s="9">
        <f t="shared" si="2"/>
        <v>43.7</v>
      </c>
      <c r="L30" s="9">
        <f t="shared" si="3"/>
        <v>29.3</v>
      </c>
      <c r="M30" s="9">
        <f t="shared" si="4"/>
        <v>25.9</v>
      </c>
      <c r="N30" s="4">
        <f t="shared" si="21"/>
        <v>5</v>
      </c>
      <c r="O30" s="4">
        <f t="shared" si="5"/>
        <v>4</v>
      </c>
      <c r="P30" s="4">
        <f t="shared" si="6"/>
        <v>1</v>
      </c>
      <c r="Q30" s="4" t="str">
        <f t="shared" si="7"/>
        <v>Kích hoạt</v>
      </c>
      <c r="R30" s="4">
        <f t="shared" si="8"/>
        <v>1</v>
      </c>
      <c r="S30" s="13">
        <f t="shared" si="9"/>
        <v>0</v>
      </c>
      <c r="T30" s="4">
        <f t="shared" si="10"/>
        <v>1</v>
      </c>
      <c r="U30" s="4">
        <f t="shared" si="11"/>
        <v>6</v>
      </c>
      <c r="V30" s="4">
        <v>15</v>
      </c>
      <c r="W30" s="15">
        <v>46114</v>
      </c>
      <c r="X30" s="4">
        <v>2</v>
      </c>
      <c r="Y30" s="16">
        <f t="shared" si="12"/>
        <v>9000000</v>
      </c>
      <c r="Z30" s="17">
        <v>2</v>
      </c>
      <c r="AA30" s="9">
        <f t="shared" si="22"/>
        <v>7</v>
      </c>
      <c r="AB30" s="9">
        <f t="shared" si="23"/>
        <v>1</v>
      </c>
      <c r="AC30" s="4" t="str">
        <f t="shared" si="13"/>
        <v>Hợp lệ</v>
      </c>
      <c r="AD30" s="16">
        <f t="shared" si="14"/>
        <v>1500000</v>
      </c>
      <c r="AE30" s="16">
        <f t="shared" si="15"/>
        <v>0</v>
      </c>
      <c r="AF30" s="16">
        <f t="shared" si="16"/>
        <v>1500000</v>
      </c>
      <c r="AG30" s="4">
        <f t="shared" si="17"/>
        <v>1</v>
      </c>
      <c r="AH30" s="16">
        <f t="shared" si="18"/>
        <v>0</v>
      </c>
      <c r="AI30" s="16">
        <f t="shared" si="19"/>
        <v>0</v>
      </c>
      <c r="AJ30" s="16">
        <f t="shared" si="20"/>
        <v>0</v>
      </c>
    </row>
    <row r="31" spans="1:36" ht="12.75" x14ac:dyDescent="0.2">
      <c r="A31" s="4" t="s">
        <v>67</v>
      </c>
      <c r="B31" s="4">
        <v>30</v>
      </c>
      <c r="C31" s="4">
        <v>10</v>
      </c>
      <c r="D31" s="5">
        <v>1</v>
      </c>
      <c r="E31" s="4">
        <v>18</v>
      </c>
      <c r="F31" s="4">
        <v>0</v>
      </c>
      <c r="G31" s="4">
        <v>25</v>
      </c>
      <c r="H31" s="9">
        <f t="shared" si="0"/>
        <v>20</v>
      </c>
      <c r="I31" s="10" t="s">
        <v>37</v>
      </c>
      <c r="J31" s="4">
        <f t="shared" si="1"/>
        <v>5</v>
      </c>
      <c r="K31" s="9">
        <f t="shared" si="2"/>
        <v>40.1</v>
      </c>
      <c r="L31" s="9">
        <f t="shared" si="3"/>
        <v>36.9</v>
      </c>
      <c r="M31" s="9">
        <f t="shared" si="4"/>
        <v>33</v>
      </c>
      <c r="N31" s="4">
        <f t="shared" si="21"/>
        <v>7</v>
      </c>
      <c r="O31" s="4">
        <f t="shared" si="5"/>
        <v>5</v>
      </c>
      <c r="P31" s="4">
        <f t="shared" si="6"/>
        <v>1</v>
      </c>
      <c r="Q31" s="4" t="str">
        <f t="shared" si="7"/>
        <v>Kích hoạt</v>
      </c>
      <c r="R31" s="4">
        <f t="shared" si="8"/>
        <v>1</v>
      </c>
      <c r="S31" s="13">
        <f t="shared" si="9"/>
        <v>0</v>
      </c>
      <c r="T31" s="4">
        <f t="shared" si="10"/>
        <v>0</v>
      </c>
      <c r="U31" s="4">
        <f t="shared" si="11"/>
        <v>6</v>
      </c>
      <c r="V31" s="4">
        <v>15</v>
      </c>
      <c r="W31" s="15">
        <v>46114</v>
      </c>
      <c r="X31" s="4">
        <v>1</v>
      </c>
      <c r="Y31" s="16">
        <f t="shared" si="12"/>
        <v>9000000</v>
      </c>
      <c r="Z31" s="17">
        <v>2</v>
      </c>
      <c r="AA31" s="9">
        <f t="shared" si="22"/>
        <v>8</v>
      </c>
      <c r="AB31" s="9">
        <f t="shared" si="23"/>
        <v>3</v>
      </c>
      <c r="AC31" s="4" t="str">
        <f t="shared" si="13"/>
        <v>Hợp lệ</v>
      </c>
      <c r="AD31" s="16">
        <f t="shared" si="14"/>
        <v>4500000</v>
      </c>
      <c r="AE31" s="16">
        <f t="shared" si="15"/>
        <v>0</v>
      </c>
      <c r="AF31" s="16">
        <f t="shared" si="16"/>
        <v>4500000</v>
      </c>
      <c r="AG31" s="4">
        <f t="shared" si="17"/>
        <v>2</v>
      </c>
      <c r="AH31" s="16">
        <f t="shared" si="18"/>
        <v>1500000</v>
      </c>
      <c r="AI31" s="16">
        <f t="shared" si="19"/>
        <v>0</v>
      </c>
      <c r="AJ31" s="16">
        <f t="shared" si="20"/>
        <v>1500000</v>
      </c>
    </row>
    <row r="32" spans="1:36" ht="12.75" x14ac:dyDescent="0.2">
      <c r="A32" s="4" t="s">
        <v>68</v>
      </c>
      <c r="B32" s="4">
        <v>31</v>
      </c>
      <c r="C32" s="4">
        <v>0</v>
      </c>
      <c r="D32" s="5">
        <v>1</v>
      </c>
      <c r="E32" s="4">
        <v>12</v>
      </c>
      <c r="F32" s="4">
        <v>0</v>
      </c>
      <c r="G32" s="4">
        <v>15</v>
      </c>
      <c r="H32" s="9">
        <f t="shared" si="0"/>
        <v>12</v>
      </c>
      <c r="I32" s="10" t="s">
        <v>37</v>
      </c>
      <c r="J32" s="4">
        <f t="shared" si="1"/>
        <v>3</v>
      </c>
      <c r="K32" s="9">
        <f t="shared" si="2"/>
        <v>37</v>
      </c>
      <c r="L32" s="9">
        <f t="shared" si="3"/>
        <v>23.3</v>
      </c>
      <c r="M32" s="9">
        <f t="shared" si="4"/>
        <v>19.600000000000001</v>
      </c>
      <c r="N32" s="4">
        <f t="shared" si="21"/>
        <v>4</v>
      </c>
      <c r="O32" s="4">
        <f t="shared" si="5"/>
        <v>3</v>
      </c>
      <c r="P32" s="4">
        <f t="shared" si="6"/>
        <v>1</v>
      </c>
      <c r="Q32" s="4" t="str">
        <f t="shared" si="7"/>
        <v>Kích hoạt</v>
      </c>
      <c r="R32" s="4">
        <f t="shared" si="8"/>
        <v>1</v>
      </c>
      <c r="S32" s="13">
        <f t="shared" si="9"/>
        <v>0</v>
      </c>
      <c r="T32" s="4">
        <f t="shared" si="10"/>
        <v>0</v>
      </c>
      <c r="U32" s="4">
        <f t="shared" si="11"/>
        <v>4</v>
      </c>
      <c r="V32" s="4">
        <v>15</v>
      </c>
      <c r="W32" s="15">
        <v>46114</v>
      </c>
      <c r="X32" s="4">
        <v>1</v>
      </c>
      <c r="Y32" s="16">
        <f t="shared" si="12"/>
        <v>9000000</v>
      </c>
      <c r="Z32" s="17">
        <v>1</v>
      </c>
      <c r="AA32" s="9">
        <f t="shared" si="22"/>
        <v>6.333333333333333</v>
      </c>
      <c r="AB32" s="9">
        <f t="shared" si="23"/>
        <v>3.333333333333333</v>
      </c>
      <c r="AC32" s="4" t="str">
        <f t="shared" si="13"/>
        <v>Hợp lệ</v>
      </c>
      <c r="AD32" s="16">
        <f t="shared" si="14"/>
        <v>5000000</v>
      </c>
      <c r="AE32" s="16">
        <f t="shared" si="15"/>
        <v>0</v>
      </c>
      <c r="AF32" s="16">
        <f t="shared" si="16"/>
        <v>5000000</v>
      </c>
      <c r="AG32" s="4">
        <f t="shared" si="17"/>
        <v>1</v>
      </c>
      <c r="AH32" s="16">
        <f t="shared" si="18"/>
        <v>1500000</v>
      </c>
      <c r="AI32" s="16">
        <f t="shared" si="19"/>
        <v>0</v>
      </c>
      <c r="AJ32" s="16">
        <f t="shared" si="20"/>
        <v>1500000</v>
      </c>
    </row>
    <row r="33" spans="2:36" ht="12.75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21"/>
      <c r="Z33" s="3"/>
      <c r="AA33" s="3"/>
      <c r="AB33" s="3"/>
      <c r="AC33" s="3"/>
      <c r="AD33" s="21"/>
      <c r="AE33" s="21"/>
      <c r="AF33" s="21"/>
      <c r="AG33" s="3"/>
      <c r="AH33" s="21"/>
      <c r="AI33" s="21"/>
      <c r="AJ33" s="21"/>
    </row>
    <row r="34" spans="2:36" ht="24" customHeight="1" x14ac:dyDescent="0.2">
      <c r="B34" s="34" t="s">
        <v>69</v>
      </c>
      <c r="C34" s="35"/>
      <c r="D34" s="35"/>
      <c r="E34" s="35"/>
      <c r="F34" s="3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21"/>
      <c r="Z34" s="3"/>
      <c r="AA34" s="3"/>
      <c r="AB34" s="3"/>
      <c r="AC34" s="3"/>
      <c r="AD34" s="21"/>
      <c r="AE34" s="21"/>
      <c r="AF34" s="21"/>
      <c r="AG34" s="3"/>
      <c r="AH34" s="21"/>
      <c r="AI34" s="21"/>
      <c r="AJ34" s="21"/>
    </row>
    <row r="35" spans="2:36" ht="12.75" x14ac:dyDescent="0.2">
      <c r="B35" s="22" t="s">
        <v>70</v>
      </c>
      <c r="C35" s="22" t="s">
        <v>71</v>
      </c>
      <c r="D35" s="22" t="s">
        <v>72</v>
      </c>
      <c r="E35" s="22" t="s">
        <v>73</v>
      </c>
      <c r="F35" s="22" t="s">
        <v>74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21"/>
      <c r="Z35" s="3"/>
      <c r="AA35" s="3"/>
      <c r="AB35" s="3"/>
      <c r="AC35" s="3"/>
      <c r="AD35" s="21"/>
      <c r="AE35" s="21"/>
      <c r="AF35" s="21"/>
      <c r="AG35" s="3"/>
      <c r="AH35" s="21"/>
      <c r="AI35" s="21"/>
      <c r="AJ35" s="21"/>
    </row>
    <row r="36" spans="2:36" ht="12.75" x14ac:dyDescent="0.2">
      <c r="B36" s="22" t="s">
        <v>75</v>
      </c>
      <c r="C36" s="23">
        <f>AVERAGE(AB6:AB32)</f>
        <v>3.1604938271604937</v>
      </c>
      <c r="D36" s="23">
        <f>AVERAGE(AG3:AG32)</f>
        <v>2.2000000000000002</v>
      </c>
      <c r="E36" s="23">
        <f t="shared" ref="E36:E40" si="24">C36 - D36</f>
        <v>0.96049382716049347</v>
      </c>
      <c r="F36" s="24">
        <f t="shared" ref="F36:F38" si="25">(C36 - D36) / C36</f>
        <v>0.30390624999999988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21"/>
      <c r="Z36" s="3"/>
      <c r="AA36" s="3"/>
      <c r="AB36" s="3"/>
      <c r="AC36" s="3"/>
      <c r="AD36" s="21"/>
      <c r="AE36" s="21"/>
      <c r="AF36" s="21"/>
      <c r="AG36" s="3"/>
      <c r="AH36" s="21"/>
      <c r="AI36" s="21"/>
      <c r="AJ36" s="21"/>
    </row>
    <row r="37" spans="2:36" ht="12.75" x14ac:dyDescent="0.2">
      <c r="B37" s="22" t="s">
        <v>76</v>
      </c>
      <c r="C37" s="24">
        <f>SUM(AB6:AB32) / SUM(J6:J32)</f>
        <v>0.30260047281323876</v>
      </c>
      <c r="D37" s="24">
        <f>SUM(AG3:AG32) / SUM(J3:J32)</f>
        <v>0.22448979591836735</v>
      </c>
      <c r="E37" s="24">
        <f t="shared" si="24"/>
        <v>7.8110676894871417E-2</v>
      </c>
      <c r="F37" s="24">
        <f t="shared" si="25"/>
        <v>0.25813137755102039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21"/>
      <c r="Z37" s="3"/>
      <c r="AA37" s="3"/>
      <c r="AB37" s="3"/>
      <c r="AC37" s="3"/>
      <c r="AD37" s="21"/>
      <c r="AE37" s="21"/>
      <c r="AF37" s="21"/>
      <c r="AG37" s="3"/>
      <c r="AH37" s="21"/>
      <c r="AI37" s="21"/>
      <c r="AJ37" s="21"/>
    </row>
    <row r="38" spans="2:36" ht="12.75" x14ac:dyDescent="0.2">
      <c r="B38" s="22" t="s">
        <v>77</v>
      </c>
      <c r="C38" s="23">
        <f>AVERAGE(AB6:AB32) * 4.8</f>
        <v>15.170370370370369</v>
      </c>
      <c r="D38" s="23">
        <f t="array" ref="D38">AVERAGE(INDEX(ABS(G3:G32 - M3:M32),0))</f>
        <v>12.160000000000004</v>
      </c>
      <c r="E38" s="23">
        <f t="shared" si="24"/>
        <v>3.0103703703703655</v>
      </c>
      <c r="F38" s="24">
        <f t="shared" si="25"/>
        <v>0.19843749999999968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21"/>
      <c r="Z38" s="3"/>
      <c r="AA38" s="3"/>
      <c r="AB38" s="3"/>
      <c r="AC38" s="3"/>
      <c r="AD38" s="21"/>
      <c r="AE38" s="21"/>
      <c r="AF38" s="21"/>
      <c r="AG38" s="3"/>
      <c r="AH38" s="21"/>
      <c r="AI38" s="21"/>
      <c r="AJ38" s="21"/>
    </row>
    <row r="39" spans="2:36" ht="12.75" x14ac:dyDescent="0.2">
      <c r="B39" s="22" t="s">
        <v>78</v>
      </c>
      <c r="C39" s="25">
        <f>SUM(AD3:AD32)</f>
        <v>63500000</v>
      </c>
      <c r="D39" s="25">
        <f>SUM(AH3:AH32)</f>
        <v>30000000</v>
      </c>
      <c r="E39" s="25">
        <f t="shared" si="24"/>
        <v>33500000</v>
      </c>
      <c r="F39" s="24">
        <f t="shared" ref="F39:F40" si="26">IF(C39=0, 0, (C39 - D39) / C39)</f>
        <v>0.52755905511811019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21"/>
      <c r="Z39" s="3"/>
      <c r="AA39" s="3"/>
      <c r="AB39" s="3"/>
      <c r="AC39" s="3"/>
      <c r="AD39" s="21"/>
      <c r="AE39" s="21"/>
      <c r="AF39" s="21"/>
      <c r="AG39" s="3"/>
      <c r="AH39" s="21"/>
      <c r="AI39" s="21"/>
      <c r="AJ39" s="21"/>
    </row>
    <row r="40" spans="2:36" ht="12.75" x14ac:dyDescent="0.2">
      <c r="B40" s="22" t="s">
        <v>79</v>
      </c>
      <c r="C40" s="25">
        <f>SUM(AE3:AE32)</f>
        <v>193500000</v>
      </c>
      <c r="D40" s="25">
        <f>SUM(AI3:AI32)</f>
        <v>0</v>
      </c>
      <c r="E40" s="25">
        <f t="shared" si="24"/>
        <v>193500000</v>
      </c>
      <c r="F40" s="24">
        <f t="shared" si="26"/>
        <v>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21"/>
      <c r="Z40" s="3"/>
      <c r="AA40" s="3"/>
      <c r="AB40" s="3"/>
      <c r="AC40" s="3"/>
      <c r="AD40" s="21"/>
      <c r="AE40" s="21"/>
      <c r="AF40" s="21"/>
      <c r="AG40" s="3"/>
      <c r="AH40" s="21"/>
      <c r="AI40" s="21"/>
      <c r="AJ40" s="21"/>
    </row>
    <row r="41" spans="2:36" ht="12.75" x14ac:dyDescent="0.2">
      <c r="B41" s="22" t="s">
        <v>80</v>
      </c>
      <c r="C41" s="25">
        <v>0</v>
      </c>
      <c r="D41" s="25">
        <f>SUM(S3:S32)</f>
        <v>10800000</v>
      </c>
      <c r="E41" s="26"/>
      <c r="F41" s="2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21"/>
      <c r="Z41" s="3"/>
      <c r="AA41" s="3"/>
      <c r="AB41" s="3"/>
      <c r="AC41" s="3"/>
      <c r="AD41" s="21"/>
      <c r="AE41" s="21"/>
      <c r="AF41" s="21"/>
      <c r="AG41" s="3"/>
      <c r="AH41" s="21"/>
      <c r="AI41" s="21"/>
      <c r="AJ41" s="21"/>
    </row>
    <row r="42" spans="2:36" ht="12.75" x14ac:dyDescent="0.2">
      <c r="B42" s="27" t="s">
        <v>81</v>
      </c>
      <c r="C42" s="28">
        <f>SUM(AF3:AF32)</f>
        <v>257000000</v>
      </c>
      <c r="D42" s="28">
        <f>SUM(AJ3:AJ32)</f>
        <v>40800000</v>
      </c>
      <c r="E42" s="28">
        <f>C42 - D42</f>
        <v>216200000</v>
      </c>
      <c r="F42" s="29">
        <f>(C42 - D42) / C42</f>
        <v>0.84124513618677044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21"/>
      <c r="Z42" s="3"/>
      <c r="AA42" s="3"/>
      <c r="AB42" s="3"/>
      <c r="AC42" s="3"/>
      <c r="AD42" s="21"/>
      <c r="AE42" s="21"/>
      <c r="AF42" s="21"/>
      <c r="AG42" s="3"/>
      <c r="AH42" s="21"/>
      <c r="AI42" s="21"/>
      <c r="AJ42" s="21"/>
    </row>
    <row r="43" spans="2:36" ht="12.75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21"/>
      <c r="Z43" s="3"/>
      <c r="AA43" s="3"/>
      <c r="AB43" s="3"/>
      <c r="AC43" s="3"/>
      <c r="AD43" s="21"/>
      <c r="AE43" s="21"/>
      <c r="AF43" s="21"/>
      <c r="AG43" s="3"/>
      <c r="AH43" s="21"/>
      <c r="AI43" s="21"/>
      <c r="AJ43" s="21"/>
    </row>
    <row r="44" spans="2:36" ht="12.75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21"/>
      <c r="Z44" s="3"/>
      <c r="AA44" s="3"/>
      <c r="AB44" s="3"/>
      <c r="AC44" s="3"/>
      <c r="AD44" s="21"/>
      <c r="AE44" s="21"/>
      <c r="AF44" s="21"/>
      <c r="AG44" s="3"/>
      <c r="AH44" s="21"/>
      <c r="AI44" s="21"/>
      <c r="AJ44" s="21"/>
    </row>
    <row r="45" spans="2:36" ht="12.75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21"/>
      <c r="Z45" s="3"/>
      <c r="AA45" s="3"/>
      <c r="AB45" s="3"/>
      <c r="AC45" s="3"/>
      <c r="AD45" s="21"/>
      <c r="AE45" s="21"/>
      <c r="AF45" s="21"/>
      <c r="AG45" s="3"/>
      <c r="AH45" s="21"/>
      <c r="AI45" s="21"/>
      <c r="AJ45" s="21"/>
    </row>
    <row r="46" spans="2:36" ht="12.75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21"/>
      <c r="Z46" s="3"/>
      <c r="AA46" s="3"/>
      <c r="AB46" s="3"/>
      <c r="AC46" s="3"/>
      <c r="AD46" s="21"/>
      <c r="AE46" s="21"/>
      <c r="AF46" s="21"/>
      <c r="AG46" s="3"/>
      <c r="AH46" s="21"/>
      <c r="AI46" s="21"/>
      <c r="AJ46" s="21"/>
    </row>
    <row r="47" spans="2:36" ht="12.75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21"/>
      <c r="Z47" s="3"/>
      <c r="AA47" s="3"/>
      <c r="AB47" s="3"/>
      <c r="AC47" s="3"/>
      <c r="AD47" s="21"/>
      <c r="AE47" s="21"/>
      <c r="AF47" s="21"/>
      <c r="AG47" s="3"/>
      <c r="AH47" s="21"/>
      <c r="AI47" s="21"/>
      <c r="AJ47" s="21"/>
    </row>
    <row r="48" spans="2:36" ht="12.75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3"/>
      <c r="AA48" s="3"/>
      <c r="AB48" s="3"/>
      <c r="AC48" s="3"/>
      <c r="AD48" s="21"/>
      <c r="AE48" s="21"/>
      <c r="AF48" s="21"/>
      <c r="AG48" s="3"/>
      <c r="AH48" s="21"/>
      <c r="AI48" s="21"/>
      <c r="AJ48" s="21"/>
    </row>
    <row r="49" spans="2:36" ht="12.75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3"/>
      <c r="AA49" s="3"/>
      <c r="AB49" s="3"/>
      <c r="AC49" s="3"/>
      <c r="AD49" s="21"/>
      <c r="AE49" s="21"/>
      <c r="AF49" s="21"/>
      <c r="AG49" s="3"/>
      <c r="AH49" s="21"/>
      <c r="AI49" s="21"/>
      <c r="AJ49" s="21"/>
    </row>
    <row r="50" spans="2:36" ht="12.75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3"/>
      <c r="AA50" s="3"/>
      <c r="AB50" s="3"/>
      <c r="AC50" s="3"/>
      <c r="AD50" s="21"/>
      <c r="AE50" s="21"/>
      <c r="AF50" s="21"/>
      <c r="AG50" s="3"/>
      <c r="AH50" s="21"/>
      <c r="AI50" s="21"/>
      <c r="AJ50" s="21"/>
    </row>
    <row r="51" spans="2:36" ht="12.75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3"/>
      <c r="AA51" s="3"/>
      <c r="AB51" s="3"/>
      <c r="AC51" s="3"/>
      <c r="AD51" s="21"/>
      <c r="AE51" s="21"/>
      <c r="AF51" s="21"/>
      <c r="AG51" s="3"/>
      <c r="AH51" s="21"/>
      <c r="AI51" s="21"/>
      <c r="AJ51" s="21"/>
    </row>
    <row r="52" spans="2:36" ht="12.75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1"/>
      <c r="Z52" s="3"/>
      <c r="AA52" s="3"/>
      <c r="AB52" s="3"/>
      <c r="AC52" s="3"/>
      <c r="AD52" s="21"/>
      <c r="AE52" s="21"/>
      <c r="AF52" s="21"/>
      <c r="AG52" s="3"/>
      <c r="AH52" s="21"/>
      <c r="AI52" s="21"/>
      <c r="AJ52" s="21"/>
    </row>
    <row r="53" spans="2:36" ht="12.75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21"/>
      <c r="Z53" s="3"/>
      <c r="AA53" s="3"/>
      <c r="AB53" s="3"/>
      <c r="AC53" s="3"/>
      <c r="AD53" s="21"/>
      <c r="AE53" s="21"/>
      <c r="AF53" s="21"/>
      <c r="AG53" s="3"/>
      <c r="AH53" s="21"/>
      <c r="AI53" s="21"/>
      <c r="AJ53" s="21"/>
    </row>
    <row r="54" spans="2:36" ht="12.75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21"/>
      <c r="Z54" s="3"/>
      <c r="AA54" s="3"/>
      <c r="AB54" s="3"/>
      <c r="AC54" s="3"/>
      <c r="AD54" s="21"/>
      <c r="AE54" s="21"/>
      <c r="AF54" s="21"/>
      <c r="AG54" s="3"/>
      <c r="AH54" s="21"/>
      <c r="AI54" s="21"/>
      <c r="AJ54" s="21"/>
    </row>
    <row r="55" spans="2:36" ht="12.75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21"/>
      <c r="Z55" s="3"/>
      <c r="AA55" s="3"/>
      <c r="AB55" s="3"/>
      <c r="AC55" s="3"/>
      <c r="AD55" s="21"/>
      <c r="AE55" s="21"/>
      <c r="AF55" s="21"/>
      <c r="AG55" s="3"/>
      <c r="AH55" s="21"/>
      <c r="AI55" s="21"/>
      <c r="AJ55" s="21"/>
    </row>
    <row r="56" spans="2:36" ht="12.75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21"/>
      <c r="Z56" s="3"/>
      <c r="AA56" s="3"/>
      <c r="AB56" s="3"/>
      <c r="AC56" s="3"/>
      <c r="AD56" s="21"/>
      <c r="AE56" s="21"/>
      <c r="AF56" s="21"/>
      <c r="AG56" s="3"/>
      <c r="AH56" s="21"/>
      <c r="AI56" s="21"/>
      <c r="AJ56" s="21"/>
    </row>
    <row r="57" spans="2:36" ht="12.75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21"/>
      <c r="Z57" s="3"/>
      <c r="AA57" s="3"/>
      <c r="AB57" s="3"/>
      <c r="AC57" s="3"/>
      <c r="AD57" s="21"/>
      <c r="AE57" s="21"/>
      <c r="AF57" s="21"/>
      <c r="AG57" s="3"/>
      <c r="AH57" s="21"/>
      <c r="AI57" s="21"/>
      <c r="AJ57" s="21"/>
    </row>
    <row r="58" spans="2:36" ht="12.75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21"/>
      <c r="Z58" s="3"/>
      <c r="AA58" s="3"/>
      <c r="AB58" s="3"/>
      <c r="AC58" s="3"/>
      <c r="AD58" s="21"/>
      <c r="AE58" s="21"/>
      <c r="AF58" s="21"/>
      <c r="AG58" s="3"/>
      <c r="AH58" s="21"/>
      <c r="AI58" s="21"/>
      <c r="AJ58" s="21"/>
    </row>
    <row r="59" spans="2:36" ht="12.75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21"/>
      <c r="Z59" s="3"/>
      <c r="AA59" s="3"/>
      <c r="AB59" s="3"/>
      <c r="AC59" s="3"/>
      <c r="AD59" s="21"/>
      <c r="AE59" s="21"/>
      <c r="AF59" s="21"/>
      <c r="AG59" s="3"/>
      <c r="AH59" s="21"/>
      <c r="AI59" s="21"/>
      <c r="AJ59" s="21"/>
    </row>
    <row r="60" spans="2:36" ht="12.75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21"/>
      <c r="Z60" s="3"/>
      <c r="AA60" s="3"/>
      <c r="AB60" s="3"/>
      <c r="AC60" s="3"/>
      <c r="AD60" s="21"/>
      <c r="AE60" s="21"/>
      <c r="AF60" s="21"/>
      <c r="AG60" s="3"/>
      <c r="AH60" s="21"/>
      <c r="AI60" s="21"/>
      <c r="AJ60" s="21"/>
    </row>
    <row r="61" spans="2:36" ht="12.75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21"/>
      <c r="Z61" s="3"/>
      <c r="AA61" s="3"/>
      <c r="AB61" s="3"/>
      <c r="AC61" s="3"/>
      <c r="AD61" s="21"/>
      <c r="AE61" s="21"/>
      <c r="AF61" s="21"/>
      <c r="AG61" s="3"/>
      <c r="AH61" s="21"/>
      <c r="AI61" s="21"/>
      <c r="AJ61" s="21"/>
    </row>
    <row r="62" spans="2:36" ht="12.75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21"/>
      <c r="Z62" s="3"/>
      <c r="AA62" s="3"/>
      <c r="AB62" s="3"/>
      <c r="AC62" s="3"/>
      <c r="AD62" s="21"/>
      <c r="AE62" s="21"/>
      <c r="AF62" s="21"/>
      <c r="AG62" s="3"/>
      <c r="AH62" s="21"/>
      <c r="AI62" s="21"/>
      <c r="AJ62" s="21"/>
    </row>
    <row r="63" spans="2:36" ht="12.75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21"/>
      <c r="Z63" s="3"/>
      <c r="AA63" s="3"/>
      <c r="AB63" s="3"/>
      <c r="AC63" s="3"/>
      <c r="AD63" s="21"/>
      <c r="AE63" s="21"/>
      <c r="AF63" s="21"/>
      <c r="AG63" s="3"/>
      <c r="AH63" s="21"/>
      <c r="AI63" s="21"/>
      <c r="AJ63" s="21"/>
    </row>
    <row r="64" spans="2:36" ht="12.75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21"/>
      <c r="Z64" s="3"/>
      <c r="AA64" s="3"/>
      <c r="AB64" s="3"/>
      <c r="AC64" s="3"/>
      <c r="AD64" s="21"/>
      <c r="AE64" s="21"/>
      <c r="AF64" s="21"/>
      <c r="AG64" s="3"/>
      <c r="AH64" s="21"/>
      <c r="AI64" s="21"/>
      <c r="AJ64" s="21"/>
    </row>
    <row r="65" spans="2:36" ht="12.75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21"/>
      <c r="Z65" s="3"/>
      <c r="AA65" s="3"/>
      <c r="AB65" s="3"/>
      <c r="AC65" s="3"/>
      <c r="AD65" s="21"/>
      <c r="AE65" s="21"/>
      <c r="AF65" s="21"/>
      <c r="AG65" s="3"/>
      <c r="AH65" s="21"/>
      <c r="AI65" s="21"/>
      <c r="AJ65" s="21"/>
    </row>
    <row r="66" spans="2:36" ht="12.75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21"/>
      <c r="Z66" s="3"/>
      <c r="AA66" s="3"/>
      <c r="AB66" s="3"/>
      <c r="AC66" s="3"/>
      <c r="AD66" s="21"/>
      <c r="AE66" s="21"/>
      <c r="AF66" s="21"/>
      <c r="AG66" s="3"/>
      <c r="AH66" s="21"/>
      <c r="AI66" s="21"/>
      <c r="AJ66" s="21"/>
    </row>
    <row r="67" spans="2:36" ht="12.75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21"/>
      <c r="Z67" s="3"/>
      <c r="AA67" s="3"/>
      <c r="AB67" s="3"/>
      <c r="AC67" s="3"/>
      <c r="AD67" s="21"/>
      <c r="AE67" s="21"/>
      <c r="AF67" s="21"/>
      <c r="AG67" s="3"/>
      <c r="AH67" s="21"/>
      <c r="AI67" s="21"/>
      <c r="AJ67" s="21"/>
    </row>
    <row r="68" spans="2:36" ht="12.75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21"/>
      <c r="Z68" s="3"/>
      <c r="AA68" s="3"/>
      <c r="AB68" s="3"/>
      <c r="AC68" s="3"/>
      <c r="AD68" s="21"/>
      <c r="AE68" s="21"/>
      <c r="AF68" s="21"/>
      <c r="AG68" s="3"/>
      <c r="AH68" s="21"/>
      <c r="AI68" s="21"/>
      <c r="AJ68" s="21"/>
    </row>
    <row r="69" spans="2:36" ht="12.75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21"/>
      <c r="Z69" s="3"/>
      <c r="AA69" s="3"/>
      <c r="AB69" s="3"/>
      <c r="AC69" s="3"/>
      <c r="AD69" s="21"/>
      <c r="AE69" s="21"/>
      <c r="AF69" s="21"/>
      <c r="AG69" s="3"/>
      <c r="AH69" s="21"/>
      <c r="AI69" s="21"/>
      <c r="AJ69" s="21"/>
    </row>
    <row r="70" spans="2:36" ht="12.75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21"/>
      <c r="Z70" s="3"/>
      <c r="AA70" s="3"/>
      <c r="AB70" s="3"/>
      <c r="AC70" s="3"/>
      <c r="AD70" s="21"/>
      <c r="AE70" s="21"/>
      <c r="AF70" s="21"/>
      <c r="AG70" s="3"/>
      <c r="AH70" s="21"/>
      <c r="AI70" s="21"/>
      <c r="AJ70" s="21"/>
    </row>
    <row r="71" spans="2:36" ht="12.75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21"/>
      <c r="Z71" s="3"/>
      <c r="AA71" s="3"/>
      <c r="AB71" s="3"/>
      <c r="AC71" s="3"/>
      <c r="AD71" s="21"/>
      <c r="AE71" s="21"/>
      <c r="AF71" s="21"/>
      <c r="AG71" s="3"/>
      <c r="AH71" s="21"/>
      <c r="AI71" s="21"/>
      <c r="AJ71" s="21"/>
    </row>
    <row r="72" spans="2:36" ht="12.75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21"/>
      <c r="Z72" s="3"/>
      <c r="AA72" s="3"/>
      <c r="AB72" s="3"/>
      <c r="AC72" s="3"/>
      <c r="AD72" s="21"/>
      <c r="AE72" s="21"/>
      <c r="AF72" s="21"/>
      <c r="AG72" s="3"/>
      <c r="AH72" s="21"/>
      <c r="AI72" s="21"/>
      <c r="AJ72" s="21"/>
    </row>
    <row r="73" spans="2:36" ht="12.75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21"/>
      <c r="Z73" s="3"/>
      <c r="AA73" s="3"/>
      <c r="AB73" s="3"/>
      <c r="AC73" s="3"/>
      <c r="AD73" s="21"/>
      <c r="AE73" s="21"/>
      <c r="AF73" s="21"/>
      <c r="AG73" s="3"/>
      <c r="AH73" s="21"/>
      <c r="AI73" s="21"/>
      <c r="AJ73" s="21"/>
    </row>
    <row r="74" spans="2:36" ht="12.75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21"/>
      <c r="Z74" s="3"/>
      <c r="AA74" s="3"/>
      <c r="AB74" s="3"/>
      <c r="AC74" s="3"/>
      <c r="AD74" s="21"/>
      <c r="AE74" s="21"/>
      <c r="AF74" s="21"/>
      <c r="AG74" s="3"/>
      <c r="AH74" s="21"/>
      <c r="AI74" s="21"/>
      <c r="AJ74" s="21"/>
    </row>
    <row r="75" spans="2:36" ht="12.75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21"/>
      <c r="Z75" s="3"/>
      <c r="AA75" s="3"/>
      <c r="AB75" s="3"/>
      <c r="AC75" s="3"/>
      <c r="AD75" s="21"/>
      <c r="AE75" s="21"/>
      <c r="AF75" s="21"/>
      <c r="AG75" s="3"/>
      <c r="AH75" s="21"/>
      <c r="AI75" s="21"/>
      <c r="AJ75" s="21"/>
    </row>
    <row r="76" spans="2:36" ht="12.75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21"/>
      <c r="Z76" s="3"/>
      <c r="AA76" s="3"/>
      <c r="AB76" s="3"/>
      <c r="AC76" s="3"/>
      <c r="AD76" s="21"/>
      <c r="AE76" s="21"/>
      <c r="AF76" s="21"/>
      <c r="AG76" s="3"/>
      <c r="AH76" s="21"/>
      <c r="AI76" s="21"/>
      <c r="AJ76" s="21"/>
    </row>
    <row r="77" spans="2:36" ht="12.75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21"/>
      <c r="Z77" s="3"/>
      <c r="AA77" s="3"/>
      <c r="AB77" s="3"/>
      <c r="AC77" s="3"/>
      <c r="AD77" s="21"/>
      <c r="AE77" s="21"/>
      <c r="AF77" s="21"/>
      <c r="AG77" s="3"/>
      <c r="AH77" s="21"/>
      <c r="AI77" s="21"/>
      <c r="AJ77" s="21"/>
    </row>
    <row r="78" spans="2:36" ht="12.75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21"/>
      <c r="Z78" s="3"/>
      <c r="AA78" s="3"/>
      <c r="AB78" s="3"/>
      <c r="AC78" s="3"/>
      <c r="AD78" s="21"/>
      <c r="AE78" s="21"/>
      <c r="AF78" s="21"/>
      <c r="AG78" s="3"/>
      <c r="AH78" s="21"/>
      <c r="AI78" s="21"/>
      <c r="AJ78" s="21"/>
    </row>
    <row r="79" spans="2:36" ht="12.75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21"/>
      <c r="Z79" s="3"/>
      <c r="AA79" s="3"/>
      <c r="AB79" s="3"/>
      <c r="AC79" s="3"/>
      <c r="AD79" s="21"/>
      <c r="AE79" s="21"/>
      <c r="AF79" s="21"/>
      <c r="AG79" s="3"/>
      <c r="AH79" s="21"/>
      <c r="AI79" s="21"/>
      <c r="AJ79" s="21"/>
    </row>
    <row r="80" spans="2:36" ht="12.75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21"/>
      <c r="Z80" s="3"/>
      <c r="AA80" s="3"/>
      <c r="AB80" s="3"/>
      <c r="AC80" s="3"/>
      <c r="AD80" s="21"/>
      <c r="AE80" s="21"/>
      <c r="AF80" s="21"/>
      <c r="AG80" s="3"/>
      <c r="AH80" s="21"/>
      <c r="AI80" s="21"/>
      <c r="AJ80" s="21"/>
    </row>
    <row r="81" spans="2:36" ht="12.75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21"/>
      <c r="Z81" s="3"/>
      <c r="AA81" s="3"/>
      <c r="AB81" s="3"/>
      <c r="AC81" s="3"/>
      <c r="AD81" s="21"/>
      <c r="AE81" s="21"/>
      <c r="AF81" s="21"/>
      <c r="AG81" s="3"/>
      <c r="AH81" s="21"/>
      <c r="AI81" s="21"/>
      <c r="AJ81" s="21"/>
    </row>
    <row r="82" spans="2:36" ht="12.75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21"/>
      <c r="Z82" s="3"/>
      <c r="AA82" s="3"/>
      <c r="AB82" s="3"/>
      <c r="AC82" s="3"/>
      <c r="AD82" s="21"/>
      <c r="AE82" s="21"/>
      <c r="AF82" s="21"/>
      <c r="AG82" s="3"/>
      <c r="AH82" s="21"/>
      <c r="AI82" s="21"/>
      <c r="AJ82" s="21"/>
    </row>
    <row r="83" spans="2:36" ht="12.75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21"/>
      <c r="Z83" s="3"/>
      <c r="AA83" s="3"/>
      <c r="AB83" s="3"/>
      <c r="AC83" s="3"/>
      <c r="AD83" s="21"/>
      <c r="AE83" s="21"/>
      <c r="AF83" s="21"/>
      <c r="AG83" s="3"/>
      <c r="AH83" s="21"/>
      <c r="AI83" s="21"/>
      <c r="AJ83" s="21"/>
    </row>
    <row r="84" spans="2:36" ht="12.75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21"/>
      <c r="Z84" s="3"/>
      <c r="AA84" s="3"/>
      <c r="AB84" s="3"/>
      <c r="AC84" s="3"/>
      <c r="AD84" s="21"/>
      <c r="AE84" s="21"/>
      <c r="AF84" s="21"/>
      <c r="AG84" s="3"/>
      <c r="AH84" s="21"/>
      <c r="AI84" s="21"/>
      <c r="AJ84" s="21"/>
    </row>
    <row r="85" spans="2:36" ht="12.75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21"/>
      <c r="Z85" s="3"/>
      <c r="AA85" s="3"/>
      <c r="AB85" s="3"/>
      <c r="AC85" s="3"/>
      <c r="AD85" s="21"/>
      <c r="AE85" s="21"/>
      <c r="AF85" s="21"/>
      <c r="AG85" s="3"/>
      <c r="AH85" s="21"/>
      <c r="AI85" s="21"/>
      <c r="AJ85" s="21"/>
    </row>
    <row r="86" spans="2:36" ht="12.75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21"/>
      <c r="Z86" s="3"/>
      <c r="AA86" s="3"/>
      <c r="AB86" s="3"/>
      <c r="AC86" s="3"/>
      <c r="AD86" s="21"/>
      <c r="AE86" s="21"/>
      <c r="AF86" s="21"/>
      <c r="AG86" s="3"/>
      <c r="AH86" s="21"/>
      <c r="AI86" s="21"/>
      <c r="AJ86" s="21"/>
    </row>
    <row r="87" spans="2:36" ht="12.75" x14ac:dyDescent="0.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21"/>
      <c r="Z87" s="3"/>
      <c r="AA87" s="3"/>
      <c r="AB87" s="3"/>
      <c r="AC87" s="3"/>
      <c r="AD87" s="21"/>
      <c r="AE87" s="21"/>
      <c r="AF87" s="21"/>
      <c r="AG87" s="3"/>
      <c r="AH87" s="21"/>
      <c r="AI87" s="21"/>
      <c r="AJ87" s="21"/>
    </row>
    <row r="88" spans="2:36" ht="12.75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21"/>
      <c r="Z88" s="3"/>
      <c r="AA88" s="3"/>
      <c r="AB88" s="3"/>
      <c r="AC88" s="3"/>
      <c r="AD88" s="21"/>
      <c r="AE88" s="21"/>
      <c r="AF88" s="21"/>
      <c r="AG88" s="3"/>
      <c r="AH88" s="21"/>
      <c r="AI88" s="21"/>
      <c r="AJ88" s="21"/>
    </row>
    <row r="89" spans="2:36" ht="12.75" x14ac:dyDescent="0.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21"/>
      <c r="Z89" s="3"/>
      <c r="AA89" s="3"/>
      <c r="AB89" s="3"/>
      <c r="AC89" s="3"/>
      <c r="AD89" s="21"/>
      <c r="AE89" s="21"/>
      <c r="AF89" s="21"/>
      <c r="AG89" s="3"/>
      <c r="AH89" s="21"/>
      <c r="AI89" s="21"/>
      <c r="AJ89" s="21"/>
    </row>
    <row r="90" spans="2:36" ht="12.75" x14ac:dyDescent="0.2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21"/>
      <c r="Z90" s="3"/>
      <c r="AA90" s="3"/>
      <c r="AB90" s="3"/>
      <c r="AC90" s="3"/>
      <c r="AD90" s="21"/>
      <c r="AE90" s="21"/>
      <c r="AF90" s="21"/>
      <c r="AG90" s="3"/>
      <c r="AH90" s="21"/>
      <c r="AI90" s="21"/>
      <c r="AJ90" s="21"/>
    </row>
    <row r="91" spans="2:36" ht="12.75" x14ac:dyDescent="0.2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21"/>
      <c r="Z91" s="3"/>
      <c r="AA91" s="3"/>
      <c r="AB91" s="3"/>
      <c r="AC91" s="3"/>
      <c r="AD91" s="21"/>
      <c r="AE91" s="21"/>
      <c r="AF91" s="21"/>
      <c r="AG91" s="3"/>
      <c r="AH91" s="21"/>
      <c r="AI91" s="21"/>
      <c r="AJ91" s="21"/>
    </row>
    <row r="92" spans="2:36" ht="12.75" x14ac:dyDescent="0.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21"/>
      <c r="Z92" s="3"/>
      <c r="AA92" s="3"/>
      <c r="AB92" s="3"/>
      <c r="AC92" s="3"/>
      <c r="AD92" s="21"/>
      <c r="AE92" s="21"/>
      <c r="AF92" s="21"/>
      <c r="AG92" s="3"/>
      <c r="AH92" s="21"/>
      <c r="AI92" s="21"/>
      <c r="AJ92" s="21"/>
    </row>
    <row r="93" spans="2:36" ht="12.75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21"/>
      <c r="Z93" s="3"/>
      <c r="AA93" s="3"/>
      <c r="AB93" s="3"/>
      <c r="AC93" s="3"/>
      <c r="AD93" s="21"/>
      <c r="AE93" s="21"/>
      <c r="AF93" s="21"/>
      <c r="AG93" s="3"/>
      <c r="AH93" s="21"/>
      <c r="AI93" s="21"/>
      <c r="AJ93" s="21"/>
    </row>
    <row r="94" spans="2:36" ht="12.75" x14ac:dyDescent="0.2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21"/>
      <c r="Z94" s="3"/>
      <c r="AA94" s="3"/>
      <c r="AB94" s="3"/>
      <c r="AC94" s="3"/>
      <c r="AD94" s="21"/>
      <c r="AE94" s="21"/>
      <c r="AF94" s="21"/>
      <c r="AG94" s="3"/>
      <c r="AH94" s="21"/>
      <c r="AI94" s="21"/>
      <c r="AJ94" s="21"/>
    </row>
    <row r="95" spans="2:36" ht="12.75" x14ac:dyDescent="0.2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21"/>
      <c r="Z95" s="3"/>
      <c r="AA95" s="3"/>
      <c r="AB95" s="3"/>
      <c r="AC95" s="3"/>
      <c r="AD95" s="21"/>
      <c r="AE95" s="21"/>
      <c r="AF95" s="21"/>
      <c r="AG95" s="3"/>
      <c r="AH95" s="21"/>
      <c r="AI95" s="21"/>
      <c r="AJ95" s="21"/>
    </row>
    <row r="96" spans="2:36" ht="12.75" x14ac:dyDescent="0.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21"/>
      <c r="Z96" s="3"/>
      <c r="AA96" s="3"/>
      <c r="AB96" s="3"/>
      <c r="AC96" s="3"/>
      <c r="AD96" s="21"/>
      <c r="AE96" s="21"/>
      <c r="AF96" s="21"/>
      <c r="AG96" s="3"/>
      <c r="AH96" s="21"/>
      <c r="AI96" s="21"/>
      <c r="AJ96" s="21"/>
    </row>
    <row r="97" spans="2:36" ht="12.75" x14ac:dyDescent="0.2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21"/>
      <c r="Z97" s="3"/>
      <c r="AA97" s="3"/>
      <c r="AB97" s="3"/>
      <c r="AC97" s="3"/>
      <c r="AD97" s="21"/>
      <c r="AE97" s="21"/>
      <c r="AF97" s="21"/>
      <c r="AG97" s="3"/>
      <c r="AH97" s="21"/>
      <c r="AI97" s="21"/>
      <c r="AJ97" s="21"/>
    </row>
    <row r="98" spans="2:36" ht="12.75" x14ac:dyDescent="0.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21"/>
      <c r="Z98" s="3"/>
      <c r="AA98" s="3"/>
      <c r="AB98" s="3"/>
      <c r="AC98" s="3"/>
      <c r="AD98" s="21"/>
      <c r="AE98" s="21"/>
      <c r="AF98" s="21"/>
      <c r="AG98" s="3"/>
      <c r="AH98" s="21"/>
      <c r="AI98" s="21"/>
      <c r="AJ98" s="21"/>
    </row>
    <row r="99" spans="2:36" ht="12.75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21"/>
      <c r="Z99" s="3"/>
      <c r="AA99" s="3"/>
      <c r="AB99" s="3"/>
      <c r="AC99" s="3"/>
      <c r="AD99" s="21"/>
      <c r="AE99" s="21"/>
      <c r="AF99" s="21"/>
      <c r="AG99" s="3"/>
      <c r="AH99" s="21"/>
      <c r="AI99" s="21"/>
      <c r="AJ99" s="21"/>
    </row>
    <row r="100" spans="2:36" ht="12.75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21"/>
      <c r="Z100" s="3"/>
      <c r="AA100" s="3"/>
      <c r="AB100" s="3"/>
      <c r="AC100" s="3"/>
      <c r="AD100" s="21"/>
      <c r="AE100" s="21"/>
      <c r="AF100" s="21"/>
      <c r="AG100" s="3"/>
      <c r="AH100" s="21"/>
      <c r="AI100" s="21"/>
      <c r="AJ100" s="21"/>
    </row>
  </sheetData>
  <mergeCells count="2">
    <mergeCell ref="A1:AJ1"/>
    <mergeCell ref="B34:F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J1000"/>
  <sheetViews>
    <sheetView tabSelected="1" topLeftCell="K1" workbookViewId="0">
      <selection activeCell="P27" sqref="P27"/>
    </sheetView>
  </sheetViews>
  <sheetFormatPr defaultColWidth="12.5703125" defaultRowHeight="15.75" customHeight="1" x14ac:dyDescent="0.2"/>
  <cols>
    <col min="2" max="2" width="41.5703125" customWidth="1"/>
    <col min="3" max="3" width="23.7109375" customWidth="1"/>
    <col min="4" max="4" width="23" customWidth="1"/>
    <col min="5" max="5" width="24.42578125" customWidth="1"/>
    <col min="6" max="6" width="22.7109375" customWidth="1"/>
    <col min="17" max="17" width="22.42578125" customWidth="1"/>
    <col min="20" max="20" width="15.42578125" customWidth="1"/>
    <col min="25" max="25" width="20" customWidth="1"/>
    <col min="31" max="31" width="14.85546875" customWidth="1"/>
    <col min="32" max="32" width="15.5703125" customWidth="1"/>
  </cols>
  <sheetData>
    <row r="1" spans="1:36" ht="38.25" customHeight="1" x14ac:dyDescent="0.35">
      <c r="A1" s="31">
        <v>46174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3"/>
    </row>
    <row r="2" spans="1:36" ht="5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6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</row>
    <row r="3" spans="1:36" ht="14.25" x14ac:dyDescent="0.2">
      <c r="A3" s="7" t="s">
        <v>36</v>
      </c>
      <c r="B3" s="7">
        <v>36</v>
      </c>
      <c r="C3" s="7">
        <v>0</v>
      </c>
      <c r="D3" s="8">
        <v>0.35</v>
      </c>
      <c r="E3" s="7">
        <v>22</v>
      </c>
      <c r="F3" s="7">
        <v>0</v>
      </c>
      <c r="G3" s="7">
        <v>20</v>
      </c>
      <c r="H3" s="11">
        <f t="shared" ref="H3:H32" si="0">G3*IF(F3=1, 0.85, 0.8)</f>
        <v>16</v>
      </c>
      <c r="I3" s="12" t="s">
        <v>37</v>
      </c>
      <c r="J3" s="7">
        <f t="shared" ref="J3:J32" si="1">ROUNDUP(H3/17.2, 0)</f>
        <v>1</v>
      </c>
      <c r="K3" s="11">
        <f t="shared" ref="K3:K32" si="2">ROUND(TREND(G$3:G$32, E$3:E$32, E3), 1)</f>
        <v>42.1</v>
      </c>
      <c r="L3" s="11">
        <f t="shared" ref="L3:L32" si="3">ROUND(TREND(G$3:G$32, B$3:E$32, B3:E3), 1)</f>
        <v>25.1</v>
      </c>
      <c r="M3" s="11">
        <f t="shared" ref="M3:M32" si="4">ROUND(TREND(G$3:G$32, B$3:F$32, B3:F3), 1)</f>
        <v>25.7</v>
      </c>
      <c r="N3" s="7">
        <f t="shared" ref="N3:N32" si="5">ROUNDUP(M3*IF(F3=1, 0.85, 0.8)/17.2, 0)</f>
        <v>2</v>
      </c>
      <c r="O3" s="7">
        <f t="shared" ref="O3:O32" si="6">ROUND(N3*70%, 0)</f>
        <v>1</v>
      </c>
      <c r="P3" s="7">
        <f t="shared" ref="P3:P32" si="7">MIN(ROUNDUP(N3*0.2, 0), MAX(0, N3 - O3))</f>
        <v>1</v>
      </c>
      <c r="Q3" s="7" t="str">
        <f t="shared" ref="Q3:Q32" si="8">IF(C3&gt;20, "Hủy slot (Mưa &gt; 20mm)", "Kích hoạt")</f>
        <v>Kích hoạt</v>
      </c>
      <c r="R3" s="7">
        <f t="shared" ref="R3:R32" si="9">IF(C3&gt;20, 0, P3)</f>
        <v>1</v>
      </c>
      <c r="S3" s="14">
        <f t="shared" ref="S3:S32" si="10">IF(C3&gt;20, P3*0.4*Y3, 0)</f>
        <v>0</v>
      </c>
      <c r="T3" s="7">
        <f t="shared" ref="T3:T32" si="11">MAX(0, J3 - O3 - R3)</f>
        <v>0</v>
      </c>
      <c r="U3" s="7">
        <f t="shared" ref="U3:U32" si="12">O3 + R3 + T3</f>
        <v>2</v>
      </c>
      <c r="V3" s="7">
        <v>15</v>
      </c>
      <c r="W3" s="12" t="s">
        <v>37</v>
      </c>
      <c r="X3" s="7">
        <v>2</v>
      </c>
      <c r="Y3" s="18">
        <f t="shared" ref="Y3:Y32" si="13">IF(OR(B3&gt;=34, F3=1), 11700000, 9000000)</f>
        <v>11700000</v>
      </c>
      <c r="Z3" s="19">
        <v>2</v>
      </c>
      <c r="AA3" s="20"/>
      <c r="AB3" s="20"/>
      <c r="AC3" s="7" t="str">
        <f t="shared" ref="AC3:AC32" si="14">IF(OR(W3="8-10 (Lỗi)", W3="5-8 (Lỗi)"), "Loại", "Hợp lệ")</f>
        <v>Hợp lệ</v>
      </c>
      <c r="AD3" s="18">
        <f t="shared" ref="AD3:AD32" si="15">IF(AA3="", 0, IF(AA3&gt;J3, (AA3-J3)*1500000, 0))</f>
        <v>0</v>
      </c>
      <c r="AE3" s="18">
        <f t="shared" ref="AE3:AE32" si="16">IF(AA3="", 0, IF(J3&gt;AA3, (J3-AA3)*4500000, 0))</f>
        <v>0</v>
      </c>
      <c r="AF3" s="18">
        <f t="shared" ref="AF3:AF32" si="17">AD3 + AE3</f>
        <v>0</v>
      </c>
      <c r="AG3" s="7">
        <f t="shared" ref="AG3:AG32" si="18">ABS(U3 - J3)</f>
        <v>1</v>
      </c>
      <c r="AH3" s="18">
        <f t="shared" ref="AH3:AH32" si="19">IF(U3&gt;J3, (U3-J3)*1500000, 0)</f>
        <v>1500000</v>
      </c>
      <c r="AI3" s="18">
        <f t="shared" ref="AI3:AI32" si="20">IF(J3&gt;U3, (J3-U3)*4500000, 0)</f>
        <v>0</v>
      </c>
      <c r="AJ3" s="18">
        <f t="shared" ref="AJ3:AJ32" si="21">AH3 + AI3 + S3</f>
        <v>1500000</v>
      </c>
    </row>
    <row r="4" spans="1:36" ht="14.25" x14ac:dyDescent="0.2">
      <c r="A4" s="7" t="s">
        <v>38</v>
      </c>
      <c r="B4" s="7">
        <v>36</v>
      </c>
      <c r="C4" s="7">
        <v>0</v>
      </c>
      <c r="D4" s="8">
        <v>0.5</v>
      </c>
      <c r="E4" s="7">
        <v>28</v>
      </c>
      <c r="F4" s="7">
        <v>0</v>
      </c>
      <c r="G4" s="7">
        <v>25</v>
      </c>
      <c r="H4" s="11">
        <f t="shared" si="0"/>
        <v>20</v>
      </c>
      <c r="I4" s="12" t="s">
        <v>37</v>
      </c>
      <c r="J4" s="7">
        <f t="shared" si="1"/>
        <v>2</v>
      </c>
      <c r="K4" s="11">
        <f t="shared" si="2"/>
        <v>45.2</v>
      </c>
      <c r="L4" s="11">
        <f t="shared" si="3"/>
        <v>24.7</v>
      </c>
      <c r="M4" s="11">
        <f t="shared" si="4"/>
        <v>24.9</v>
      </c>
      <c r="N4" s="7">
        <f t="shared" si="5"/>
        <v>2</v>
      </c>
      <c r="O4" s="7">
        <f t="shared" si="6"/>
        <v>1</v>
      </c>
      <c r="P4" s="7">
        <f t="shared" si="7"/>
        <v>1</v>
      </c>
      <c r="Q4" s="7" t="str">
        <f t="shared" si="8"/>
        <v>Kích hoạt</v>
      </c>
      <c r="R4" s="7">
        <f t="shared" si="9"/>
        <v>1</v>
      </c>
      <c r="S4" s="14">
        <f t="shared" si="10"/>
        <v>0</v>
      </c>
      <c r="T4" s="7">
        <f t="shared" si="11"/>
        <v>0</v>
      </c>
      <c r="U4" s="7">
        <f t="shared" si="12"/>
        <v>2</v>
      </c>
      <c r="V4" s="7">
        <v>14</v>
      </c>
      <c r="W4" s="12" t="s">
        <v>37</v>
      </c>
      <c r="X4" s="7">
        <v>2</v>
      </c>
      <c r="Y4" s="18">
        <f t="shared" si="13"/>
        <v>11700000</v>
      </c>
      <c r="Z4" s="19">
        <v>2</v>
      </c>
      <c r="AA4" s="20"/>
      <c r="AB4" s="20"/>
      <c r="AC4" s="7" t="str">
        <f t="shared" si="14"/>
        <v>Hợp lệ</v>
      </c>
      <c r="AD4" s="18">
        <f t="shared" si="15"/>
        <v>0</v>
      </c>
      <c r="AE4" s="18">
        <f t="shared" si="16"/>
        <v>0</v>
      </c>
      <c r="AF4" s="18">
        <f t="shared" si="17"/>
        <v>0</v>
      </c>
      <c r="AG4" s="7">
        <f t="shared" si="18"/>
        <v>0</v>
      </c>
      <c r="AH4" s="18">
        <f t="shared" si="19"/>
        <v>0</v>
      </c>
      <c r="AI4" s="18">
        <f t="shared" si="20"/>
        <v>0</v>
      </c>
      <c r="AJ4" s="18">
        <f t="shared" si="21"/>
        <v>0</v>
      </c>
    </row>
    <row r="5" spans="1:36" ht="14.25" x14ac:dyDescent="0.2">
      <c r="A5" s="7" t="s">
        <v>39</v>
      </c>
      <c r="B5" s="7">
        <v>36</v>
      </c>
      <c r="C5" s="7">
        <v>0</v>
      </c>
      <c r="D5" s="8">
        <v>0.65</v>
      </c>
      <c r="E5" s="7">
        <v>35</v>
      </c>
      <c r="F5" s="7">
        <v>0</v>
      </c>
      <c r="G5" s="7">
        <v>15</v>
      </c>
      <c r="H5" s="11">
        <f t="shared" si="0"/>
        <v>12</v>
      </c>
      <c r="I5" s="12" t="s">
        <v>37</v>
      </c>
      <c r="J5" s="7">
        <f t="shared" si="1"/>
        <v>1</v>
      </c>
      <c r="K5" s="11">
        <f t="shared" si="2"/>
        <v>48.8</v>
      </c>
      <c r="L5" s="11">
        <f t="shared" si="3"/>
        <v>25.4</v>
      </c>
      <c r="M5" s="11">
        <f t="shared" si="4"/>
        <v>25.1</v>
      </c>
      <c r="N5" s="7">
        <f t="shared" si="5"/>
        <v>2</v>
      </c>
      <c r="O5" s="7">
        <f t="shared" si="6"/>
        <v>1</v>
      </c>
      <c r="P5" s="7">
        <f t="shared" si="7"/>
        <v>1</v>
      </c>
      <c r="Q5" s="7" t="str">
        <f t="shared" si="8"/>
        <v>Kích hoạt</v>
      </c>
      <c r="R5" s="7">
        <f t="shared" si="9"/>
        <v>1</v>
      </c>
      <c r="S5" s="14">
        <f t="shared" si="10"/>
        <v>0</v>
      </c>
      <c r="T5" s="7">
        <f t="shared" si="11"/>
        <v>0</v>
      </c>
      <c r="U5" s="7">
        <f t="shared" si="12"/>
        <v>2</v>
      </c>
      <c r="V5" s="7">
        <v>15</v>
      </c>
      <c r="W5" s="12" t="s">
        <v>37</v>
      </c>
      <c r="X5" s="7">
        <v>1</v>
      </c>
      <c r="Y5" s="18">
        <f t="shared" si="13"/>
        <v>11700000</v>
      </c>
      <c r="Z5" s="19">
        <v>1</v>
      </c>
      <c r="AA5" s="20"/>
      <c r="AB5" s="20"/>
      <c r="AC5" s="7" t="str">
        <f t="shared" si="14"/>
        <v>Hợp lệ</v>
      </c>
      <c r="AD5" s="18">
        <f t="shared" si="15"/>
        <v>0</v>
      </c>
      <c r="AE5" s="18">
        <f t="shared" si="16"/>
        <v>0</v>
      </c>
      <c r="AF5" s="18">
        <f t="shared" si="17"/>
        <v>0</v>
      </c>
      <c r="AG5" s="7">
        <f t="shared" si="18"/>
        <v>1</v>
      </c>
      <c r="AH5" s="18">
        <f t="shared" si="19"/>
        <v>1500000</v>
      </c>
      <c r="AI5" s="18">
        <f t="shared" si="20"/>
        <v>0</v>
      </c>
      <c r="AJ5" s="18">
        <f t="shared" si="21"/>
        <v>1500000</v>
      </c>
    </row>
    <row r="6" spans="1:36" ht="14.25" x14ac:dyDescent="0.2">
      <c r="A6" s="7" t="s">
        <v>40</v>
      </c>
      <c r="B6" s="7">
        <v>33</v>
      </c>
      <c r="C6" s="7">
        <v>0</v>
      </c>
      <c r="D6" s="8">
        <v>0.75</v>
      </c>
      <c r="E6" s="7">
        <v>30</v>
      </c>
      <c r="F6" s="7">
        <v>0</v>
      </c>
      <c r="G6" s="7">
        <v>30</v>
      </c>
      <c r="H6" s="11">
        <f t="shared" si="0"/>
        <v>24</v>
      </c>
      <c r="I6" s="12" t="s">
        <v>37</v>
      </c>
      <c r="J6" s="7">
        <f t="shared" si="1"/>
        <v>2</v>
      </c>
      <c r="K6" s="11">
        <f t="shared" si="2"/>
        <v>46.2</v>
      </c>
      <c r="L6" s="11">
        <f t="shared" si="3"/>
        <v>37.799999999999997</v>
      </c>
      <c r="M6" s="11">
        <f t="shared" si="4"/>
        <v>35.5</v>
      </c>
      <c r="N6" s="7">
        <f t="shared" si="5"/>
        <v>2</v>
      </c>
      <c r="O6" s="7">
        <f t="shared" si="6"/>
        <v>1</v>
      </c>
      <c r="P6" s="7">
        <f t="shared" si="7"/>
        <v>1</v>
      </c>
      <c r="Q6" s="7" t="str">
        <f t="shared" si="8"/>
        <v>Kích hoạt</v>
      </c>
      <c r="R6" s="7">
        <f t="shared" si="9"/>
        <v>1</v>
      </c>
      <c r="S6" s="14">
        <f t="shared" si="10"/>
        <v>0</v>
      </c>
      <c r="T6" s="7">
        <f t="shared" si="11"/>
        <v>0</v>
      </c>
      <c r="U6" s="7">
        <f t="shared" si="12"/>
        <v>2</v>
      </c>
      <c r="V6" s="7">
        <v>13</v>
      </c>
      <c r="W6" s="12" t="s">
        <v>37</v>
      </c>
      <c r="X6" s="7">
        <v>2</v>
      </c>
      <c r="Y6" s="18">
        <f t="shared" si="13"/>
        <v>9000000</v>
      </c>
      <c r="Z6" s="19">
        <v>2</v>
      </c>
      <c r="AA6" s="11">
        <f t="shared" ref="AA6:AA32" si="22">AVERAGE(J3:J5)</f>
        <v>1.3333333333333333</v>
      </c>
      <c r="AB6" s="11">
        <f t="shared" ref="AB6:AB32" si="23">ABS(J6 - AA6)</f>
        <v>0.66666666666666674</v>
      </c>
      <c r="AC6" s="7" t="str">
        <f t="shared" si="14"/>
        <v>Hợp lệ</v>
      </c>
      <c r="AD6" s="18">
        <f t="shared" si="15"/>
        <v>0</v>
      </c>
      <c r="AE6" s="18">
        <f t="shared" si="16"/>
        <v>3000000.0000000005</v>
      </c>
      <c r="AF6" s="18">
        <f t="shared" si="17"/>
        <v>3000000.0000000005</v>
      </c>
      <c r="AG6" s="7">
        <f t="shared" si="18"/>
        <v>0</v>
      </c>
      <c r="AH6" s="18">
        <f t="shared" si="19"/>
        <v>0</v>
      </c>
      <c r="AI6" s="18">
        <f t="shared" si="20"/>
        <v>0</v>
      </c>
      <c r="AJ6" s="18">
        <f t="shared" si="21"/>
        <v>0</v>
      </c>
    </row>
    <row r="7" spans="1:36" ht="14.25" x14ac:dyDescent="0.2">
      <c r="A7" s="7" t="s">
        <v>41</v>
      </c>
      <c r="B7" s="7">
        <v>30</v>
      </c>
      <c r="C7" s="7">
        <v>20</v>
      </c>
      <c r="D7" s="8">
        <v>0.8</v>
      </c>
      <c r="E7" s="7">
        <v>18</v>
      </c>
      <c r="F7" s="7">
        <v>1</v>
      </c>
      <c r="G7" s="7">
        <v>35</v>
      </c>
      <c r="H7" s="11">
        <f t="shared" si="0"/>
        <v>29.75</v>
      </c>
      <c r="I7" s="12" t="s">
        <v>37</v>
      </c>
      <c r="J7" s="7">
        <f t="shared" si="1"/>
        <v>2</v>
      </c>
      <c r="K7" s="11">
        <f t="shared" si="2"/>
        <v>40.1</v>
      </c>
      <c r="L7" s="11">
        <f t="shared" si="3"/>
        <v>45.6</v>
      </c>
      <c r="M7" s="11">
        <f t="shared" si="4"/>
        <v>51.6</v>
      </c>
      <c r="N7" s="7">
        <f t="shared" si="5"/>
        <v>3</v>
      </c>
      <c r="O7" s="7">
        <f t="shared" si="6"/>
        <v>2</v>
      </c>
      <c r="P7" s="7">
        <f t="shared" si="7"/>
        <v>1</v>
      </c>
      <c r="Q7" s="7" t="str">
        <f t="shared" si="8"/>
        <v>Kích hoạt</v>
      </c>
      <c r="R7" s="7">
        <f t="shared" si="9"/>
        <v>1</v>
      </c>
      <c r="S7" s="14">
        <f t="shared" si="10"/>
        <v>0</v>
      </c>
      <c r="T7" s="7">
        <f t="shared" si="11"/>
        <v>0</v>
      </c>
      <c r="U7" s="7">
        <f t="shared" si="12"/>
        <v>3</v>
      </c>
      <c r="V7" s="7">
        <v>10</v>
      </c>
      <c r="W7" s="12" t="s">
        <v>37</v>
      </c>
      <c r="X7" s="7">
        <v>3</v>
      </c>
      <c r="Y7" s="18">
        <f t="shared" si="13"/>
        <v>11700000</v>
      </c>
      <c r="Z7" s="19">
        <v>3</v>
      </c>
      <c r="AA7" s="11">
        <f t="shared" si="22"/>
        <v>1.6666666666666667</v>
      </c>
      <c r="AB7" s="11">
        <f t="shared" si="23"/>
        <v>0.33333333333333326</v>
      </c>
      <c r="AC7" s="7" t="str">
        <f t="shared" si="14"/>
        <v>Hợp lệ</v>
      </c>
      <c r="AD7" s="18">
        <f t="shared" si="15"/>
        <v>0</v>
      </c>
      <c r="AE7" s="18">
        <f t="shared" si="16"/>
        <v>1499999.9999999998</v>
      </c>
      <c r="AF7" s="18">
        <f t="shared" si="17"/>
        <v>1499999.9999999998</v>
      </c>
      <c r="AG7" s="7">
        <f t="shared" si="18"/>
        <v>1</v>
      </c>
      <c r="AH7" s="18">
        <f t="shared" si="19"/>
        <v>1500000</v>
      </c>
      <c r="AI7" s="18">
        <f t="shared" si="20"/>
        <v>0</v>
      </c>
      <c r="AJ7" s="18">
        <f t="shared" si="21"/>
        <v>1500000</v>
      </c>
    </row>
    <row r="8" spans="1:36" ht="14.25" x14ac:dyDescent="0.2">
      <c r="A8" s="7" t="s">
        <v>42</v>
      </c>
      <c r="B8" s="7">
        <v>34</v>
      </c>
      <c r="C8" s="7">
        <v>0</v>
      </c>
      <c r="D8" s="8">
        <v>0.88</v>
      </c>
      <c r="E8" s="7">
        <v>42</v>
      </c>
      <c r="F8" s="7">
        <v>1</v>
      </c>
      <c r="G8" s="7">
        <v>45</v>
      </c>
      <c r="H8" s="11">
        <f t="shared" si="0"/>
        <v>38.25</v>
      </c>
      <c r="I8" s="12" t="s">
        <v>37</v>
      </c>
      <c r="J8" s="7">
        <f t="shared" si="1"/>
        <v>3</v>
      </c>
      <c r="K8" s="11">
        <f t="shared" si="2"/>
        <v>52.4</v>
      </c>
      <c r="L8" s="11">
        <f t="shared" si="3"/>
        <v>37.200000000000003</v>
      </c>
      <c r="M8" s="11">
        <f t="shared" si="4"/>
        <v>43.7</v>
      </c>
      <c r="N8" s="7">
        <f t="shared" si="5"/>
        <v>3</v>
      </c>
      <c r="O8" s="7">
        <f t="shared" si="6"/>
        <v>2</v>
      </c>
      <c r="P8" s="7">
        <f t="shared" si="7"/>
        <v>1</v>
      </c>
      <c r="Q8" s="7" t="str">
        <f t="shared" si="8"/>
        <v>Kích hoạt</v>
      </c>
      <c r="R8" s="7">
        <f t="shared" si="9"/>
        <v>1</v>
      </c>
      <c r="S8" s="14">
        <f t="shared" si="10"/>
        <v>0</v>
      </c>
      <c r="T8" s="7">
        <f t="shared" si="11"/>
        <v>0</v>
      </c>
      <c r="U8" s="7">
        <f t="shared" si="12"/>
        <v>3</v>
      </c>
      <c r="V8" s="7">
        <v>9</v>
      </c>
      <c r="W8" s="12" t="s">
        <v>37</v>
      </c>
      <c r="X8" s="7">
        <v>6</v>
      </c>
      <c r="Y8" s="18">
        <f t="shared" si="13"/>
        <v>11700000</v>
      </c>
      <c r="Z8" s="19">
        <v>5</v>
      </c>
      <c r="AA8" s="11">
        <f t="shared" si="22"/>
        <v>1.6666666666666667</v>
      </c>
      <c r="AB8" s="11">
        <f t="shared" si="23"/>
        <v>1.3333333333333333</v>
      </c>
      <c r="AC8" s="7" t="str">
        <f t="shared" si="14"/>
        <v>Hợp lệ</v>
      </c>
      <c r="AD8" s="18">
        <f t="shared" si="15"/>
        <v>0</v>
      </c>
      <c r="AE8" s="18">
        <f t="shared" si="16"/>
        <v>6000000</v>
      </c>
      <c r="AF8" s="18">
        <f t="shared" si="17"/>
        <v>6000000</v>
      </c>
      <c r="AG8" s="7">
        <f t="shared" si="18"/>
        <v>0</v>
      </c>
      <c r="AH8" s="18">
        <f t="shared" si="19"/>
        <v>0</v>
      </c>
      <c r="AI8" s="18">
        <f t="shared" si="20"/>
        <v>0</v>
      </c>
      <c r="AJ8" s="18">
        <f t="shared" si="21"/>
        <v>0</v>
      </c>
    </row>
    <row r="9" spans="1:36" ht="14.25" x14ac:dyDescent="0.2">
      <c r="A9" s="7" t="s">
        <v>43</v>
      </c>
      <c r="B9" s="7">
        <v>37</v>
      </c>
      <c r="C9" s="7">
        <v>0</v>
      </c>
      <c r="D9" s="8">
        <v>0.95</v>
      </c>
      <c r="E9" s="7">
        <v>65</v>
      </c>
      <c r="F9" s="7">
        <v>0</v>
      </c>
      <c r="G9" s="7">
        <v>65</v>
      </c>
      <c r="H9" s="11">
        <f t="shared" si="0"/>
        <v>52</v>
      </c>
      <c r="I9" s="12" t="s">
        <v>37</v>
      </c>
      <c r="J9" s="7">
        <f t="shared" si="1"/>
        <v>4</v>
      </c>
      <c r="K9" s="11">
        <f t="shared" si="2"/>
        <v>64.2</v>
      </c>
      <c r="L9" s="11">
        <f t="shared" si="3"/>
        <v>35.700000000000003</v>
      </c>
      <c r="M9" s="11">
        <f t="shared" si="4"/>
        <v>34.799999999999997</v>
      </c>
      <c r="N9" s="7">
        <f t="shared" si="5"/>
        <v>2</v>
      </c>
      <c r="O9" s="7">
        <f t="shared" si="6"/>
        <v>1</v>
      </c>
      <c r="P9" s="7">
        <f t="shared" si="7"/>
        <v>1</v>
      </c>
      <c r="Q9" s="7" t="str">
        <f t="shared" si="8"/>
        <v>Kích hoạt</v>
      </c>
      <c r="R9" s="7">
        <f t="shared" si="9"/>
        <v>1</v>
      </c>
      <c r="S9" s="14">
        <f t="shared" si="10"/>
        <v>0</v>
      </c>
      <c r="T9" s="7">
        <f t="shared" si="11"/>
        <v>2</v>
      </c>
      <c r="U9" s="7">
        <f t="shared" si="12"/>
        <v>4</v>
      </c>
      <c r="V9" s="7">
        <v>15</v>
      </c>
      <c r="W9" s="12" t="s">
        <v>37</v>
      </c>
      <c r="X9" s="7">
        <v>12</v>
      </c>
      <c r="Y9" s="18">
        <f t="shared" si="13"/>
        <v>11700000</v>
      </c>
      <c r="Z9" s="19">
        <v>10</v>
      </c>
      <c r="AA9" s="11">
        <f t="shared" si="22"/>
        <v>2.3333333333333335</v>
      </c>
      <c r="AB9" s="11">
        <f t="shared" si="23"/>
        <v>1.6666666666666665</v>
      </c>
      <c r="AC9" s="7" t="str">
        <f t="shared" si="14"/>
        <v>Hợp lệ</v>
      </c>
      <c r="AD9" s="18">
        <f t="shared" si="15"/>
        <v>0</v>
      </c>
      <c r="AE9" s="18">
        <f t="shared" si="16"/>
        <v>7499999.9999999991</v>
      </c>
      <c r="AF9" s="18">
        <f t="shared" si="17"/>
        <v>7499999.9999999991</v>
      </c>
      <c r="AG9" s="7">
        <f t="shared" si="18"/>
        <v>0</v>
      </c>
      <c r="AH9" s="18">
        <f t="shared" si="19"/>
        <v>0</v>
      </c>
      <c r="AI9" s="18">
        <f t="shared" si="20"/>
        <v>0</v>
      </c>
      <c r="AJ9" s="18">
        <f t="shared" si="21"/>
        <v>0</v>
      </c>
    </row>
    <row r="10" spans="1:36" ht="14.25" x14ac:dyDescent="0.2">
      <c r="A10" s="7" t="s">
        <v>44</v>
      </c>
      <c r="B10" s="7">
        <v>32</v>
      </c>
      <c r="C10" s="7">
        <v>0</v>
      </c>
      <c r="D10" s="8">
        <v>0.2</v>
      </c>
      <c r="E10" s="7">
        <v>32</v>
      </c>
      <c r="F10" s="7">
        <v>0</v>
      </c>
      <c r="G10" s="7">
        <v>75</v>
      </c>
      <c r="H10" s="11">
        <f t="shared" si="0"/>
        <v>60</v>
      </c>
      <c r="I10" s="12" t="s">
        <v>37</v>
      </c>
      <c r="J10" s="7">
        <f t="shared" si="1"/>
        <v>4</v>
      </c>
      <c r="K10" s="11">
        <f t="shared" si="2"/>
        <v>47.3</v>
      </c>
      <c r="L10" s="11">
        <f t="shared" si="3"/>
        <v>70.8</v>
      </c>
      <c r="M10" s="11">
        <f t="shared" si="4"/>
        <v>69</v>
      </c>
      <c r="N10" s="7">
        <f t="shared" si="5"/>
        <v>4</v>
      </c>
      <c r="O10" s="7">
        <f t="shared" si="6"/>
        <v>3</v>
      </c>
      <c r="P10" s="7">
        <f t="shared" si="7"/>
        <v>1</v>
      </c>
      <c r="Q10" s="7" t="str">
        <f t="shared" si="8"/>
        <v>Kích hoạt</v>
      </c>
      <c r="R10" s="7">
        <f t="shared" si="9"/>
        <v>1</v>
      </c>
      <c r="S10" s="14">
        <f t="shared" si="10"/>
        <v>0</v>
      </c>
      <c r="T10" s="7">
        <f t="shared" si="11"/>
        <v>0</v>
      </c>
      <c r="U10" s="7">
        <f t="shared" si="12"/>
        <v>4</v>
      </c>
      <c r="V10" s="7">
        <v>15</v>
      </c>
      <c r="W10" s="12" t="s">
        <v>37</v>
      </c>
      <c r="X10" s="7">
        <v>14</v>
      </c>
      <c r="Y10" s="18">
        <f t="shared" si="13"/>
        <v>9000000</v>
      </c>
      <c r="Z10" s="19">
        <v>12</v>
      </c>
      <c r="AA10" s="11">
        <f t="shared" si="22"/>
        <v>3</v>
      </c>
      <c r="AB10" s="11">
        <f t="shared" si="23"/>
        <v>1</v>
      </c>
      <c r="AC10" s="7" t="str">
        <f t="shared" si="14"/>
        <v>Hợp lệ</v>
      </c>
      <c r="AD10" s="18">
        <f t="shared" si="15"/>
        <v>0</v>
      </c>
      <c r="AE10" s="18">
        <f t="shared" si="16"/>
        <v>4500000</v>
      </c>
      <c r="AF10" s="18">
        <f t="shared" si="17"/>
        <v>4500000</v>
      </c>
      <c r="AG10" s="7">
        <f t="shared" si="18"/>
        <v>0</v>
      </c>
      <c r="AH10" s="18">
        <f t="shared" si="19"/>
        <v>0</v>
      </c>
      <c r="AI10" s="18">
        <f t="shared" si="20"/>
        <v>0</v>
      </c>
      <c r="AJ10" s="18">
        <f t="shared" si="21"/>
        <v>0</v>
      </c>
    </row>
    <row r="11" spans="1:36" ht="14.25" x14ac:dyDescent="0.2">
      <c r="A11" s="7" t="s">
        <v>45</v>
      </c>
      <c r="B11" s="7">
        <v>30</v>
      </c>
      <c r="C11" s="7">
        <v>15</v>
      </c>
      <c r="D11" s="8">
        <v>0.28000000000000003</v>
      </c>
      <c r="E11" s="7">
        <v>22</v>
      </c>
      <c r="F11" s="7">
        <v>0</v>
      </c>
      <c r="G11" s="7">
        <v>70</v>
      </c>
      <c r="H11" s="11">
        <f t="shared" si="0"/>
        <v>56</v>
      </c>
      <c r="I11" s="12" t="s">
        <v>37</v>
      </c>
      <c r="J11" s="7">
        <f t="shared" si="1"/>
        <v>4</v>
      </c>
      <c r="K11" s="11">
        <f t="shared" si="2"/>
        <v>42.1</v>
      </c>
      <c r="L11" s="11">
        <f t="shared" si="3"/>
        <v>72</v>
      </c>
      <c r="M11" s="11">
        <f t="shared" si="4"/>
        <v>69.900000000000006</v>
      </c>
      <c r="N11" s="7">
        <f t="shared" si="5"/>
        <v>4</v>
      </c>
      <c r="O11" s="7">
        <f t="shared" si="6"/>
        <v>3</v>
      </c>
      <c r="P11" s="7">
        <f t="shared" si="7"/>
        <v>1</v>
      </c>
      <c r="Q11" s="7" t="str">
        <f t="shared" si="8"/>
        <v>Kích hoạt</v>
      </c>
      <c r="R11" s="7">
        <f t="shared" si="9"/>
        <v>1</v>
      </c>
      <c r="S11" s="14">
        <f t="shared" si="10"/>
        <v>0</v>
      </c>
      <c r="T11" s="7">
        <f t="shared" si="11"/>
        <v>0</v>
      </c>
      <c r="U11" s="7">
        <f t="shared" si="12"/>
        <v>4</v>
      </c>
      <c r="V11" s="7">
        <v>16</v>
      </c>
      <c r="W11" s="12" t="s">
        <v>46</v>
      </c>
      <c r="X11" s="7">
        <v>12</v>
      </c>
      <c r="Y11" s="18">
        <f t="shared" si="13"/>
        <v>9000000</v>
      </c>
      <c r="Z11" s="19">
        <v>15</v>
      </c>
      <c r="AA11" s="11">
        <f t="shared" si="22"/>
        <v>3.6666666666666665</v>
      </c>
      <c r="AB11" s="11">
        <f t="shared" si="23"/>
        <v>0.33333333333333348</v>
      </c>
      <c r="AC11" s="7" t="str">
        <f t="shared" si="14"/>
        <v>Loại</v>
      </c>
      <c r="AD11" s="18">
        <f t="shared" si="15"/>
        <v>0</v>
      </c>
      <c r="AE11" s="18">
        <f t="shared" si="16"/>
        <v>1500000.0000000007</v>
      </c>
      <c r="AF11" s="18">
        <f t="shared" si="17"/>
        <v>1500000.0000000007</v>
      </c>
      <c r="AG11" s="7">
        <f t="shared" si="18"/>
        <v>0</v>
      </c>
      <c r="AH11" s="18">
        <f t="shared" si="19"/>
        <v>0</v>
      </c>
      <c r="AI11" s="18">
        <f t="shared" si="20"/>
        <v>0</v>
      </c>
      <c r="AJ11" s="18">
        <f t="shared" si="21"/>
        <v>0</v>
      </c>
    </row>
    <row r="12" spans="1:36" ht="14.25" x14ac:dyDescent="0.2">
      <c r="A12" s="7" t="s">
        <v>47</v>
      </c>
      <c r="B12" s="7">
        <v>32</v>
      </c>
      <c r="C12" s="7">
        <v>0</v>
      </c>
      <c r="D12" s="8">
        <v>0.35</v>
      </c>
      <c r="E12" s="7">
        <v>38</v>
      </c>
      <c r="F12" s="7">
        <v>0</v>
      </c>
      <c r="G12" s="7">
        <v>72</v>
      </c>
      <c r="H12" s="11">
        <f t="shared" si="0"/>
        <v>57.6</v>
      </c>
      <c r="I12" s="12" t="s">
        <v>37</v>
      </c>
      <c r="J12" s="7">
        <f t="shared" si="1"/>
        <v>4</v>
      </c>
      <c r="K12" s="11">
        <f t="shared" si="2"/>
        <v>50.3</v>
      </c>
      <c r="L12" s="11">
        <f t="shared" si="3"/>
        <v>70.400000000000006</v>
      </c>
      <c r="M12" s="11">
        <f t="shared" si="4"/>
        <v>68.2</v>
      </c>
      <c r="N12" s="7">
        <f t="shared" si="5"/>
        <v>4</v>
      </c>
      <c r="O12" s="7">
        <f t="shared" si="6"/>
        <v>3</v>
      </c>
      <c r="P12" s="7">
        <f t="shared" si="7"/>
        <v>1</v>
      </c>
      <c r="Q12" s="7" t="str">
        <f t="shared" si="8"/>
        <v>Kích hoạt</v>
      </c>
      <c r="R12" s="7">
        <f t="shared" si="9"/>
        <v>1</v>
      </c>
      <c r="S12" s="14">
        <f t="shared" si="10"/>
        <v>0</v>
      </c>
      <c r="T12" s="7">
        <f t="shared" si="11"/>
        <v>0</v>
      </c>
      <c r="U12" s="7">
        <f t="shared" si="12"/>
        <v>4</v>
      </c>
      <c r="V12" s="7">
        <v>14</v>
      </c>
      <c r="W12" s="12" t="s">
        <v>37</v>
      </c>
      <c r="X12" s="7">
        <v>16</v>
      </c>
      <c r="Y12" s="18">
        <f t="shared" si="13"/>
        <v>9000000</v>
      </c>
      <c r="Z12" s="19">
        <v>13</v>
      </c>
      <c r="AA12" s="11">
        <f t="shared" si="22"/>
        <v>4</v>
      </c>
      <c r="AB12" s="11">
        <f t="shared" si="23"/>
        <v>0</v>
      </c>
      <c r="AC12" s="7" t="str">
        <f t="shared" si="14"/>
        <v>Hợp lệ</v>
      </c>
      <c r="AD12" s="18">
        <f t="shared" si="15"/>
        <v>0</v>
      </c>
      <c r="AE12" s="18">
        <f t="shared" si="16"/>
        <v>0</v>
      </c>
      <c r="AF12" s="18">
        <f t="shared" si="17"/>
        <v>0</v>
      </c>
      <c r="AG12" s="7">
        <f t="shared" si="18"/>
        <v>0</v>
      </c>
      <c r="AH12" s="18">
        <f t="shared" si="19"/>
        <v>0</v>
      </c>
      <c r="AI12" s="18">
        <f t="shared" si="20"/>
        <v>0</v>
      </c>
      <c r="AJ12" s="18">
        <f t="shared" si="21"/>
        <v>0</v>
      </c>
    </row>
    <row r="13" spans="1:36" ht="14.25" x14ac:dyDescent="0.2">
      <c r="A13" s="7" t="s">
        <v>48</v>
      </c>
      <c r="B13" s="7">
        <v>34</v>
      </c>
      <c r="C13" s="7">
        <v>0</v>
      </c>
      <c r="D13" s="8">
        <v>0.45</v>
      </c>
      <c r="E13" s="7">
        <v>52</v>
      </c>
      <c r="F13" s="7">
        <v>0</v>
      </c>
      <c r="G13" s="7">
        <v>20</v>
      </c>
      <c r="H13" s="11">
        <f t="shared" si="0"/>
        <v>16</v>
      </c>
      <c r="I13" s="12" t="s">
        <v>37</v>
      </c>
      <c r="J13" s="7">
        <f t="shared" si="1"/>
        <v>1</v>
      </c>
      <c r="K13" s="11">
        <f t="shared" si="2"/>
        <v>57.5</v>
      </c>
      <c r="L13" s="11">
        <f t="shared" si="3"/>
        <v>65.8</v>
      </c>
      <c r="M13" s="11">
        <f t="shared" si="4"/>
        <v>64.3</v>
      </c>
      <c r="N13" s="7">
        <f t="shared" si="5"/>
        <v>3</v>
      </c>
      <c r="O13" s="7">
        <f t="shared" si="6"/>
        <v>2</v>
      </c>
      <c r="P13" s="7">
        <f t="shared" si="7"/>
        <v>1</v>
      </c>
      <c r="Q13" s="7" t="str">
        <f t="shared" si="8"/>
        <v>Kích hoạt</v>
      </c>
      <c r="R13" s="7">
        <f t="shared" si="9"/>
        <v>1</v>
      </c>
      <c r="S13" s="14">
        <f t="shared" si="10"/>
        <v>0</v>
      </c>
      <c r="T13" s="7">
        <f t="shared" si="11"/>
        <v>0</v>
      </c>
      <c r="U13" s="7">
        <f t="shared" si="12"/>
        <v>3</v>
      </c>
      <c r="V13" s="7">
        <v>15</v>
      </c>
      <c r="W13" s="12" t="s">
        <v>37</v>
      </c>
      <c r="X13" s="7">
        <v>2</v>
      </c>
      <c r="Y13" s="18">
        <f t="shared" si="13"/>
        <v>11700000</v>
      </c>
      <c r="Z13" s="19">
        <v>2</v>
      </c>
      <c r="AA13" s="11">
        <f t="shared" si="22"/>
        <v>4</v>
      </c>
      <c r="AB13" s="11">
        <f t="shared" si="23"/>
        <v>3</v>
      </c>
      <c r="AC13" s="7" t="str">
        <f t="shared" si="14"/>
        <v>Hợp lệ</v>
      </c>
      <c r="AD13" s="18">
        <f t="shared" si="15"/>
        <v>4500000</v>
      </c>
      <c r="AE13" s="18">
        <f t="shared" si="16"/>
        <v>0</v>
      </c>
      <c r="AF13" s="18">
        <f t="shared" si="17"/>
        <v>4500000</v>
      </c>
      <c r="AG13" s="7">
        <f t="shared" si="18"/>
        <v>2</v>
      </c>
      <c r="AH13" s="18">
        <f t="shared" si="19"/>
        <v>3000000</v>
      </c>
      <c r="AI13" s="18">
        <f t="shared" si="20"/>
        <v>0</v>
      </c>
      <c r="AJ13" s="18">
        <f t="shared" si="21"/>
        <v>3000000</v>
      </c>
    </row>
    <row r="14" spans="1:36" ht="14.25" x14ac:dyDescent="0.2">
      <c r="A14" s="7" t="s">
        <v>49</v>
      </c>
      <c r="B14" s="7">
        <v>31</v>
      </c>
      <c r="C14" s="7">
        <v>0</v>
      </c>
      <c r="D14" s="8">
        <v>0.52</v>
      </c>
      <c r="E14" s="7">
        <v>45</v>
      </c>
      <c r="F14" s="7">
        <v>1</v>
      </c>
      <c r="G14" s="7">
        <v>110</v>
      </c>
      <c r="H14" s="11">
        <f t="shared" si="0"/>
        <v>93.5</v>
      </c>
      <c r="I14" s="12" t="s">
        <v>37</v>
      </c>
      <c r="J14" s="7">
        <f t="shared" si="1"/>
        <v>6</v>
      </c>
      <c r="K14" s="11">
        <f t="shared" si="2"/>
        <v>53.9</v>
      </c>
      <c r="L14" s="11">
        <f t="shared" si="3"/>
        <v>77.5</v>
      </c>
      <c r="M14" s="11">
        <f t="shared" si="4"/>
        <v>82.9</v>
      </c>
      <c r="N14" s="7">
        <f t="shared" si="5"/>
        <v>5</v>
      </c>
      <c r="O14" s="7">
        <f t="shared" si="6"/>
        <v>4</v>
      </c>
      <c r="P14" s="7">
        <f t="shared" si="7"/>
        <v>1</v>
      </c>
      <c r="Q14" s="7" t="str">
        <f t="shared" si="8"/>
        <v>Kích hoạt</v>
      </c>
      <c r="R14" s="7">
        <f t="shared" si="9"/>
        <v>1</v>
      </c>
      <c r="S14" s="14">
        <f t="shared" si="10"/>
        <v>0</v>
      </c>
      <c r="T14" s="7">
        <f t="shared" si="11"/>
        <v>1</v>
      </c>
      <c r="U14" s="7">
        <f t="shared" si="12"/>
        <v>6</v>
      </c>
      <c r="V14" s="7">
        <v>10</v>
      </c>
      <c r="W14" s="12" t="s">
        <v>37</v>
      </c>
      <c r="X14" s="7">
        <v>24</v>
      </c>
      <c r="Y14" s="18">
        <f t="shared" si="13"/>
        <v>11700000</v>
      </c>
      <c r="Z14" s="19">
        <v>20</v>
      </c>
      <c r="AA14" s="11">
        <f t="shared" si="22"/>
        <v>3</v>
      </c>
      <c r="AB14" s="11">
        <f t="shared" si="23"/>
        <v>3</v>
      </c>
      <c r="AC14" s="7" t="str">
        <f t="shared" si="14"/>
        <v>Hợp lệ</v>
      </c>
      <c r="AD14" s="18">
        <f t="shared" si="15"/>
        <v>0</v>
      </c>
      <c r="AE14" s="18">
        <f t="shared" si="16"/>
        <v>13500000</v>
      </c>
      <c r="AF14" s="18">
        <f t="shared" si="17"/>
        <v>13500000</v>
      </c>
      <c r="AG14" s="7">
        <f t="shared" si="18"/>
        <v>0</v>
      </c>
      <c r="AH14" s="18">
        <f t="shared" si="19"/>
        <v>0</v>
      </c>
      <c r="AI14" s="18">
        <f t="shared" si="20"/>
        <v>0</v>
      </c>
      <c r="AJ14" s="18">
        <f t="shared" si="21"/>
        <v>0</v>
      </c>
    </row>
    <row r="15" spans="1:36" ht="14.25" x14ac:dyDescent="0.2">
      <c r="A15" s="7" t="s">
        <v>50</v>
      </c>
      <c r="B15" s="7">
        <v>36</v>
      </c>
      <c r="C15" s="7">
        <v>0</v>
      </c>
      <c r="D15" s="8">
        <v>0.68</v>
      </c>
      <c r="E15" s="7">
        <v>78</v>
      </c>
      <c r="F15" s="7">
        <v>1</v>
      </c>
      <c r="G15" s="7">
        <v>95</v>
      </c>
      <c r="H15" s="11">
        <f t="shared" si="0"/>
        <v>80.75</v>
      </c>
      <c r="I15" s="12" t="s">
        <v>37</v>
      </c>
      <c r="J15" s="7">
        <f t="shared" si="1"/>
        <v>5</v>
      </c>
      <c r="K15" s="11">
        <f t="shared" si="2"/>
        <v>70.900000000000006</v>
      </c>
      <c r="L15" s="11">
        <f t="shared" si="3"/>
        <v>67.8</v>
      </c>
      <c r="M15" s="11">
        <f t="shared" si="4"/>
        <v>75.3</v>
      </c>
      <c r="N15" s="7">
        <f t="shared" si="5"/>
        <v>4</v>
      </c>
      <c r="O15" s="7">
        <f t="shared" si="6"/>
        <v>3</v>
      </c>
      <c r="P15" s="7">
        <f t="shared" si="7"/>
        <v>1</v>
      </c>
      <c r="Q15" s="7" t="str">
        <f t="shared" si="8"/>
        <v>Kích hoạt</v>
      </c>
      <c r="R15" s="7">
        <f t="shared" si="9"/>
        <v>1</v>
      </c>
      <c r="S15" s="14">
        <f t="shared" si="10"/>
        <v>0</v>
      </c>
      <c r="T15" s="7">
        <f t="shared" si="11"/>
        <v>1</v>
      </c>
      <c r="U15" s="7">
        <f t="shared" si="12"/>
        <v>5</v>
      </c>
      <c r="V15" s="7">
        <v>9</v>
      </c>
      <c r="W15" s="12" t="s">
        <v>37</v>
      </c>
      <c r="X15" s="7">
        <v>22</v>
      </c>
      <c r="Y15" s="18">
        <f t="shared" si="13"/>
        <v>11700000</v>
      </c>
      <c r="Z15" s="19">
        <v>18</v>
      </c>
      <c r="AA15" s="11">
        <f t="shared" si="22"/>
        <v>3.6666666666666665</v>
      </c>
      <c r="AB15" s="11">
        <f t="shared" si="23"/>
        <v>1.3333333333333335</v>
      </c>
      <c r="AC15" s="7" t="str">
        <f t="shared" si="14"/>
        <v>Hợp lệ</v>
      </c>
      <c r="AD15" s="18">
        <f t="shared" si="15"/>
        <v>0</v>
      </c>
      <c r="AE15" s="18">
        <f t="shared" si="16"/>
        <v>6000000.0000000009</v>
      </c>
      <c r="AF15" s="18">
        <f t="shared" si="17"/>
        <v>6000000.0000000009</v>
      </c>
      <c r="AG15" s="7">
        <f t="shared" si="18"/>
        <v>0</v>
      </c>
      <c r="AH15" s="18">
        <f t="shared" si="19"/>
        <v>0</v>
      </c>
      <c r="AI15" s="18">
        <f t="shared" si="20"/>
        <v>0</v>
      </c>
      <c r="AJ15" s="18">
        <f t="shared" si="21"/>
        <v>0</v>
      </c>
    </row>
    <row r="16" spans="1:36" ht="14.25" x14ac:dyDescent="0.2">
      <c r="A16" s="7" t="s">
        <v>51</v>
      </c>
      <c r="B16" s="7">
        <v>35</v>
      </c>
      <c r="C16" s="7">
        <v>0</v>
      </c>
      <c r="D16" s="8">
        <v>0.78</v>
      </c>
      <c r="E16" s="7">
        <v>85</v>
      </c>
      <c r="F16" s="7">
        <v>0</v>
      </c>
      <c r="G16" s="7">
        <v>85</v>
      </c>
      <c r="H16" s="11">
        <f t="shared" si="0"/>
        <v>68</v>
      </c>
      <c r="I16" s="12" t="s">
        <v>37</v>
      </c>
      <c r="J16" s="7">
        <f t="shared" si="1"/>
        <v>4</v>
      </c>
      <c r="K16" s="11">
        <f t="shared" si="2"/>
        <v>74.5</v>
      </c>
      <c r="L16" s="11">
        <f t="shared" si="3"/>
        <v>77.900000000000006</v>
      </c>
      <c r="M16" s="11">
        <f t="shared" si="4"/>
        <v>75.7</v>
      </c>
      <c r="N16" s="7">
        <f t="shared" si="5"/>
        <v>4</v>
      </c>
      <c r="O16" s="7">
        <f t="shared" si="6"/>
        <v>3</v>
      </c>
      <c r="P16" s="7">
        <f t="shared" si="7"/>
        <v>1</v>
      </c>
      <c r="Q16" s="7" t="str">
        <f t="shared" si="8"/>
        <v>Kích hoạt</v>
      </c>
      <c r="R16" s="7">
        <f t="shared" si="9"/>
        <v>1</v>
      </c>
      <c r="S16" s="14">
        <f t="shared" si="10"/>
        <v>0</v>
      </c>
      <c r="T16" s="7">
        <f t="shared" si="11"/>
        <v>0</v>
      </c>
      <c r="U16" s="7">
        <f t="shared" si="12"/>
        <v>4</v>
      </c>
      <c r="V16" s="7">
        <v>14</v>
      </c>
      <c r="W16" s="12" t="s">
        <v>37</v>
      </c>
      <c r="X16" s="7">
        <v>18</v>
      </c>
      <c r="Y16" s="18">
        <f t="shared" si="13"/>
        <v>11700000</v>
      </c>
      <c r="Z16" s="19">
        <v>15</v>
      </c>
      <c r="AA16" s="11">
        <f t="shared" si="22"/>
        <v>4</v>
      </c>
      <c r="AB16" s="11">
        <f t="shared" si="23"/>
        <v>0</v>
      </c>
      <c r="AC16" s="7" t="str">
        <f t="shared" si="14"/>
        <v>Hợp lệ</v>
      </c>
      <c r="AD16" s="18">
        <f t="shared" si="15"/>
        <v>0</v>
      </c>
      <c r="AE16" s="18">
        <f t="shared" si="16"/>
        <v>0</v>
      </c>
      <c r="AF16" s="18">
        <f t="shared" si="17"/>
        <v>0</v>
      </c>
      <c r="AG16" s="7">
        <f t="shared" si="18"/>
        <v>0</v>
      </c>
      <c r="AH16" s="18">
        <f t="shared" si="19"/>
        <v>0</v>
      </c>
      <c r="AI16" s="18">
        <f t="shared" si="20"/>
        <v>0</v>
      </c>
      <c r="AJ16" s="18">
        <f t="shared" si="21"/>
        <v>0</v>
      </c>
    </row>
    <row r="17" spans="1:36" ht="14.25" x14ac:dyDescent="0.2">
      <c r="A17" s="7" t="s">
        <v>52</v>
      </c>
      <c r="B17" s="7">
        <v>31</v>
      </c>
      <c r="C17" s="7">
        <v>5</v>
      </c>
      <c r="D17" s="8">
        <v>0.82</v>
      </c>
      <c r="E17" s="7">
        <v>65</v>
      </c>
      <c r="F17" s="7">
        <v>0</v>
      </c>
      <c r="G17" s="7">
        <v>70</v>
      </c>
      <c r="H17" s="11">
        <f t="shared" si="0"/>
        <v>56</v>
      </c>
      <c r="I17" s="12" t="s">
        <v>37</v>
      </c>
      <c r="J17" s="7">
        <f t="shared" si="1"/>
        <v>4</v>
      </c>
      <c r="K17" s="11">
        <f t="shared" si="2"/>
        <v>64.2</v>
      </c>
      <c r="L17" s="11">
        <f t="shared" si="3"/>
        <v>85</v>
      </c>
      <c r="M17" s="11">
        <f t="shared" si="4"/>
        <v>80.900000000000006</v>
      </c>
      <c r="N17" s="7">
        <f t="shared" si="5"/>
        <v>4</v>
      </c>
      <c r="O17" s="7">
        <f t="shared" si="6"/>
        <v>3</v>
      </c>
      <c r="P17" s="7">
        <f t="shared" si="7"/>
        <v>1</v>
      </c>
      <c r="Q17" s="7" t="str">
        <f t="shared" si="8"/>
        <v>Kích hoạt</v>
      </c>
      <c r="R17" s="7">
        <f t="shared" si="9"/>
        <v>1</v>
      </c>
      <c r="S17" s="14">
        <f t="shared" si="10"/>
        <v>0</v>
      </c>
      <c r="T17" s="7">
        <f t="shared" si="11"/>
        <v>0</v>
      </c>
      <c r="U17" s="7">
        <f t="shared" si="12"/>
        <v>4</v>
      </c>
      <c r="V17" s="7">
        <v>15</v>
      </c>
      <c r="W17" s="12" t="s">
        <v>37</v>
      </c>
      <c r="X17" s="7">
        <v>14</v>
      </c>
      <c r="Y17" s="18">
        <f t="shared" si="13"/>
        <v>9000000</v>
      </c>
      <c r="Z17" s="19">
        <v>12</v>
      </c>
      <c r="AA17" s="11">
        <f t="shared" si="22"/>
        <v>5</v>
      </c>
      <c r="AB17" s="11">
        <f t="shared" si="23"/>
        <v>1</v>
      </c>
      <c r="AC17" s="7" t="str">
        <f t="shared" si="14"/>
        <v>Hợp lệ</v>
      </c>
      <c r="AD17" s="18">
        <f t="shared" si="15"/>
        <v>1500000</v>
      </c>
      <c r="AE17" s="18">
        <f t="shared" si="16"/>
        <v>0</v>
      </c>
      <c r="AF17" s="18">
        <f t="shared" si="17"/>
        <v>1500000</v>
      </c>
      <c r="AG17" s="7">
        <f t="shared" si="18"/>
        <v>0</v>
      </c>
      <c r="AH17" s="18">
        <f t="shared" si="19"/>
        <v>0</v>
      </c>
      <c r="AI17" s="18">
        <f t="shared" si="20"/>
        <v>0</v>
      </c>
      <c r="AJ17" s="18">
        <f t="shared" si="21"/>
        <v>0</v>
      </c>
    </row>
    <row r="18" spans="1:36" ht="14.25" x14ac:dyDescent="0.2">
      <c r="A18" s="7" t="s">
        <v>53</v>
      </c>
      <c r="B18" s="7">
        <v>30</v>
      </c>
      <c r="C18" s="7">
        <v>65</v>
      </c>
      <c r="D18" s="8">
        <v>0.84</v>
      </c>
      <c r="E18" s="7">
        <v>18</v>
      </c>
      <c r="F18" s="7">
        <v>0</v>
      </c>
      <c r="G18" s="7">
        <v>65</v>
      </c>
      <c r="H18" s="11">
        <f t="shared" si="0"/>
        <v>52</v>
      </c>
      <c r="I18" s="12" t="s">
        <v>37</v>
      </c>
      <c r="J18" s="7">
        <f t="shared" si="1"/>
        <v>4</v>
      </c>
      <c r="K18" s="11">
        <f t="shared" si="2"/>
        <v>40.1</v>
      </c>
      <c r="L18" s="11">
        <f t="shared" si="3"/>
        <v>44.6</v>
      </c>
      <c r="M18" s="11">
        <f t="shared" si="4"/>
        <v>44.6</v>
      </c>
      <c r="N18" s="7">
        <f t="shared" si="5"/>
        <v>3</v>
      </c>
      <c r="O18" s="7">
        <f t="shared" si="6"/>
        <v>2</v>
      </c>
      <c r="P18" s="7">
        <f t="shared" si="7"/>
        <v>1</v>
      </c>
      <c r="Q18" s="7" t="str">
        <f t="shared" si="8"/>
        <v>Hủy slot (Mưa &gt; 20mm)</v>
      </c>
      <c r="R18" s="7">
        <f t="shared" si="9"/>
        <v>0</v>
      </c>
      <c r="S18" s="14">
        <f t="shared" si="10"/>
        <v>3600000</v>
      </c>
      <c r="T18" s="7">
        <f t="shared" si="11"/>
        <v>2</v>
      </c>
      <c r="U18" s="7">
        <f t="shared" si="12"/>
        <v>4</v>
      </c>
      <c r="V18" s="7">
        <v>16</v>
      </c>
      <c r="W18" s="12" t="s">
        <v>54</v>
      </c>
      <c r="X18" s="7">
        <v>12</v>
      </c>
      <c r="Y18" s="18">
        <f t="shared" si="13"/>
        <v>9000000</v>
      </c>
      <c r="Z18" s="19">
        <v>14</v>
      </c>
      <c r="AA18" s="11">
        <f t="shared" si="22"/>
        <v>4.333333333333333</v>
      </c>
      <c r="AB18" s="11">
        <f t="shared" si="23"/>
        <v>0.33333333333333304</v>
      </c>
      <c r="AC18" s="7" t="str">
        <f t="shared" si="14"/>
        <v>Loại</v>
      </c>
      <c r="AD18" s="18">
        <f t="shared" si="15"/>
        <v>499999.99999999953</v>
      </c>
      <c r="AE18" s="18">
        <f t="shared" si="16"/>
        <v>0</v>
      </c>
      <c r="AF18" s="18">
        <f t="shared" si="17"/>
        <v>499999.99999999953</v>
      </c>
      <c r="AG18" s="7">
        <f t="shared" si="18"/>
        <v>0</v>
      </c>
      <c r="AH18" s="18">
        <f t="shared" si="19"/>
        <v>0</v>
      </c>
      <c r="AI18" s="18">
        <f t="shared" si="20"/>
        <v>0</v>
      </c>
      <c r="AJ18" s="18">
        <f t="shared" si="21"/>
        <v>3600000</v>
      </c>
    </row>
    <row r="19" spans="1:36" ht="14.25" x14ac:dyDescent="0.2">
      <c r="A19" s="7" t="s">
        <v>55</v>
      </c>
      <c r="B19" s="7">
        <v>30</v>
      </c>
      <c r="C19" s="7">
        <v>20</v>
      </c>
      <c r="D19" s="8">
        <v>0.86</v>
      </c>
      <c r="E19" s="7">
        <v>25</v>
      </c>
      <c r="F19" s="7">
        <v>0</v>
      </c>
      <c r="G19" s="7">
        <v>80</v>
      </c>
      <c r="H19" s="11">
        <f t="shared" si="0"/>
        <v>64</v>
      </c>
      <c r="I19" s="12" t="s">
        <v>37</v>
      </c>
      <c r="J19" s="7">
        <f t="shared" si="1"/>
        <v>4</v>
      </c>
      <c r="K19" s="11">
        <f t="shared" si="2"/>
        <v>43.7</v>
      </c>
      <c r="L19" s="11">
        <f t="shared" si="3"/>
        <v>50.2</v>
      </c>
      <c r="M19" s="11">
        <f t="shared" si="4"/>
        <v>47.1</v>
      </c>
      <c r="N19" s="7">
        <f t="shared" si="5"/>
        <v>3</v>
      </c>
      <c r="O19" s="7">
        <f t="shared" si="6"/>
        <v>2</v>
      </c>
      <c r="P19" s="7">
        <f t="shared" si="7"/>
        <v>1</v>
      </c>
      <c r="Q19" s="7" t="str">
        <f t="shared" si="8"/>
        <v>Kích hoạt</v>
      </c>
      <c r="R19" s="7">
        <f t="shared" si="9"/>
        <v>1</v>
      </c>
      <c r="S19" s="14">
        <f t="shared" si="10"/>
        <v>0</v>
      </c>
      <c r="T19" s="7">
        <f t="shared" si="11"/>
        <v>1</v>
      </c>
      <c r="U19" s="7">
        <f t="shared" si="12"/>
        <v>4</v>
      </c>
      <c r="V19" s="7">
        <v>15</v>
      </c>
      <c r="W19" s="12" t="s">
        <v>37</v>
      </c>
      <c r="X19" s="7">
        <v>16</v>
      </c>
      <c r="Y19" s="18">
        <f t="shared" si="13"/>
        <v>9000000</v>
      </c>
      <c r="Z19" s="19">
        <v>15</v>
      </c>
      <c r="AA19" s="11">
        <f t="shared" si="22"/>
        <v>4</v>
      </c>
      <c r="AB19" s="11">
        <f t="shared" si="23"/>
        <v>0</v>
      </c>
      <c r="AC19" s="7" t="str">
        <f t="shared" si="14"/>
        <v>Hợp lệ</v>
      </c>
      <c r="AD19" s="18">
        <f t="shared" si="15"/>
        <v>0</v>
      </c>
      <c r="AE19" s="18">
        <f t="shared" si="16"/>
        <v>0</v>
      </c>
      <c r="AF19" s="18">
        <f t="shared" si="17"/>
        <v>0</v>
      </c>
      <c r="AG19" s="7">
        <f t="shared" si="18"/>
        <v>0</v>
      </c>
      <c r="AH19" s="18">
        <f t="shared" si="19"/>
        <v>0</v>
      </c>
      <c r="AI19" s="18">
        <f t="shared" si="20"/>
        <v>0</v>
      </c>
      <c r="AJ19" s="18">
        <f t="shared" si="21"/>
        <v>0</v>
      </c>
    </row>
    <row r="20" spans="1:36" ht="14.25" x14ac:dyDescent="0.2">
      <c r="A20" s="7" t="s">
        <v>56</v>
      </c>
      <c r="B20" s="7">
        <v>32</v>
      </c>
      <c r="C20" s="7">
        <v>0</v>
      </c>
      <c r="D20" s="8">
        <v>0.89</v>
      </c>
      <c r="E20" s="7">
        <v>55</v>
      </c>
      <c r="F20" s="7">
        <v>0</v>
      </c>
      <c r="G20" s="7">
        <v>75</v>
      </c>
      <c r="H20" s="11">
        <f t="shared" si="0"/>
        <v>60</v>
      </c>
      <c r="I20" s="12" t="s">
        <v>37</v>
      </c>
      <c r="J20" s="7">
        <f t="shared" si="1"/>
        <v>4</v>
      </c>
      <c r="K20" s="11">
        <f t="shared" si="2"/>
        <v>59.1</v>
      </c>
      <c r="L20" s="11">
        <f t="shared" si="3"/>
        <v>64.5</v>
      </c>
      <c r="M20" s="11">
        <f t="shared" si="4"/>
        <v>60.8</v>
      </c>
      <c r="N20" s="7">
        <f t="shared" si="5"/>
        <v>3</v>
      </c>
      <c r="O20" s="7">
        <f t="shared" si="6"/>
        <v>2</v>
      </c>
      <c r="P20" s="7">
        <f t="shared" si="7"/>
        <v>1</v>
      </c>
      <c r="Q20" s="7" t="str">
        <f t="shared" si="8"/>
        <v>Kích hoạt</v>
      </c>
      <c r="R20" s="7">
        <f t="shared" si="9"/>
        <v>1</v>
      </c>
      <c r="S20" s="14">
        <f t="shared" si="10"/>
        <v>0</v>
      </c>
      <c r="T20" s="7">
        <f t="shared" si="11"/>
        <v>1</v>
      </c>
      <c r="U20" s="7">
        <f t="shared" si="12"/>
        <v>4</v>
      </c>
      <c r="V20" s="7">
        <v>15</v>
      </c>
      <c r="W20" s="12" t="s">
        <v>37</v>
      </c>
      <c r="X20" s="7">
        <v>14</v>
      </c>
      <c r="Y20" s="18">
        <f t="shared" si="13"/>
        <v>9000000</v>
      </c>
      <c r="Z20" s="19">
        <v>12</v>
      </c>
      <c r="AA20" s="11">
        <f t="shared" si="22"/>
        <v>4</v>
      </c>
      <c r="AB20" s="11">
        <f t="shared" si="23"/>
        <v>0</v>
      </c>
      <c r="AC20" s="7" t="str">
        <f t="shared" si="14"/>
        <v>Hợp lệ</v>
      </c>
      <c r="AD20" s="18">
        <f t="shared" si="15"/>
        <v>0</v>
      </c>
      <c r="AE20" s="18">
        <f t="shared" si="16"/>
        <v>0</v>
      </c>
      <c r="AF20" s="18">
        <f t="shared" si="17"/>
        <v>0</v>
      </c>
      <c r="AG20" s="7">
        <f t="shared" si="18"/>
        <v>0</v>
      </c>
      <c r="AH20" s="18">
        <f t="shared" si="19"/>
        <v>0</v>
      </c>
      <c r="AI20" s="18">
        <f t="shared" si="20"/>
        <v>0</v>
      </c>
      <c r="AJ20" s="18">
        <f t="shared" si="21"/>
        <v>0</v>
      </c>
    </row>
    <row r="21" spans="1:36" ht="14.25" x14ac:dyDescent="0.2">
      <c r="A21" s="7" t="s">
        <v>57</v>
      </c>
      <c r="B21" s="7">
        <v>31</v>
      </c>
      <c r="C21" s="7">
        <v>0</v>
      </c>
      <c r="D21" s="8">
        <v>0.91</v>
      </c>
      <c r="E21" s="7">
        <v>68</v>
      </c>
      <c r="F21" s="7">
        <v>1</v>
      </c>
      <c r="G21" s="7">
        <v>85</v>
      </c>
      <c r="H21" s="11">
        <f t="shared" si="0"/>
        <v>72.25</v>
      </c>
      <c r="I21" s="12" t="s">
        <v>37</v>
      </c>
      <c r="J21" s="7">
        <f t="shared" si="1"/>
        <v>5</v>
      </c>
      <c r="K21" s="11">
        <f t="shared" si="2"/>
        <v>65.8</v>
      </c>
      <c r="L21" s="11">
        <f t="shared" si="3"/>
        <v>84.1</v>
      </c>
      <c r="M21" s="11">
        <f t="shared" si="4"/>
        <v>88.2</v>
      </c>
      <c r="N21" s="7">
        <f t="shared" si="5"/>
        <v>5</v>
      </c>
      <c r="O21" s="7">
        <f t="shared" si="6"/>
        <v>4</v>
      </c>
      <c r="P21" s="7">
        <f t="shared" si="7"/>
        <v>1</v>
      </c>
      <c r="Q21" s="7" t="str">
        <f t="shared" si="8"/>
        <v>Kích hoạt</v>
      </c>
      <c r="R21" s="7">
        <f t="shared" si="9"/>
        <v>1</v>
      </c>
      <c r="S21" s="14">
        <f t="shared" si="10"/>
        <v>0</v>
      </c>
      <c r="T21" s="7">
        <f t="shared" si="11"/>
        <v>0</v>
      </c>
      <c r="U21" s="7">
        <f t="shared" si="12"/>
        <v>5</v>
      </c>
      <c r="V21" s="7">
        <v>10</v>
      </c>
      <c r="W21" s="12" t="s">
        <v>37</v>
      </c>
      <c r="X21" s="7">
        <v>20</v>
      </c>
      <c r="Y21" s="18">
        <f t="shared" si="13"/>
        <v>11700000</v>
      </c>
      <c r="Z21" s="19">
        <v>16</v>
      </c>
      <c r="AA21" s="11">
        <f t="shared" si="22"/>
        <v>4</v>
      </c>
      <c r="AB21" s="11">
        <f t="shared" si="23"/>
        <v>1</v>
      </c>
      <c r="AC21" s="7" t="str">
        <f t="shared" si="14"/>
        <v>Hợp lệ</v>
      </c>
      <c r="AD21" s="18">
        <f t="shared" si="15"/>
        <v>0</v>
      </c>
      <c r="AE21" s="18">
        <f t="shared" si="16"/>
        <v>4500000</v>
      </c>
      <c r="AF21" s="18">
        <f t="shared" si="17"/>
        <v>4500000</v>
      </c>
      <c r="AG21" s="7">
        <f t="shared" si="18"/>
        <v>0</v>
      </c>
      <c r="AH21" s="18">
        <f t="shared" si="19"/>
        <v>0</v>
      </c>
      <c r="AI21" s="18">
        <f t="shared" si="20"/>
        <v>0</v>
      </c>
      <c r="AJ21" s="18">
        <f t="shared" si="21"/>
        <v>0</v>
      </c>
    </row>
    <row r="22" spans="1:36" ht="14.25" x14ac:dyDescent="0.2">
      <c r="A22" s="7" t="s">
        <v>58</v>
      </c>
      <c r="B22" s="7">
        <v>33</v>
      </c>
      <c r="C22" s="7">
        <v>0</v>
      </c>
      <c r="D22" s="8">
        <v>0.93</v>
      </c>
      <c r="E22" s="7">
        <v>75</v>
      </c>
      <c r="F22" s="7">
        <v>1</v>
      </c>
      <c r="G22" s="7">
        <v>60</v>
      </c>
      <c r="H22" s="11">
        <f t="shared" si="0"/>
        <v>51</v>
      </c>
      <c r="I22" s="12" t="s">
        <v>37</v>
      </c>
      <c r="J22" s="7">
        <f t="shared" si="1"/>
        <v>3</v>
      </c>
      <c r="K22" s="11">
        <f t="shared" si="2"/>
        <v>69.400000000000006</v>
      </c>
      <c r="L22" s="11">
        <f t="shared" si="3"/>
        <v>75.8</v>
      </c>
      <c r="M22" s="11">
        <f t="shared" si="4"/>
        <v>80.900000000000006</v>
      </c>
      <c r="N22" s="7">
        <f t="shared" si="5"/>
        <v>4</v>
      </c>
      <c r="O22" s="7">
        <f t="shared" si="6"/>
        <v>3</v>
      </c>
      <c r="P22" s="7">
        <f t="shared" si="7"/>
        <v>1</v>
      </c>
      <c r="Q22" s="7" t="str">
        <f t="shared" si="8"/>
        <v>Kích hoạt</v>
      </c>
      <c r="R22" s="7">
        <f t="shared" si="9"/>
        <v>1</v>
      </c>
      <c r="S22" s="14">
        <f t="shared" si="10"/>
        <v>0</v>
      </c>
      <c r="T22" s="7">
        <f t="shared" si="11"/>
        <v>0</v>
      </c>
      <c r="U22" s="7">
        <f t="shared" si="12"/>
        <v>4</v>
      </c>
      <c r="V22" s="7">
        <v>11</v>
      </c>
      <c r="W22" s="12" t="s">
        <v>37</v>
      </c>
      <c r="X22" s="7">
        <v>8</v>
      </c>
      <c r="Y22" s="18">
        <f t="shared" si="13"/>
        <v>11700000</v>
      </c>
      <c r="Z22" s="19">
        <v>8</v>
      </c>
      <c r="AA22" s="11">
        <f t="shared" si="22"/>
        <v>4.333333333333333</v>
      </c>
      <c r="AB22" s="11">
        <f t="shared" si="23"/>
        <v>1.333333333333333</v>
      </c>
      <c r="AC22" s="7" t="str">
        <f t="shared" si="14"/>
        <v>Hợp lệ</v>
      </c>
      <c r="AD22" s="18">
        <f t="shared" si="15"/>
        <v>1999999.9999999995</v>
      </c>
      <c r="AE22" s="18">
        <f t="shared" si="16"/>
        <v>0</v>
      </c>
      <c r="AF22" s="18">
        <f t="shared" si="17"/>
        <v>1999999.9999999995</v>
      </c>
      <c r="AG22" s="7">
        <f t="shared" si="18"/>
        <v>1</v>
      </c>
      <c r="AH22" s="18">
        <f t="shared" si="19"/>
        <v>1500000</v>
      </c>
      <c r="AI22" s="18">
        <f t="shared" si="20"/>
        <v>0</v>
      </c>
      <c r="AJ22" s="18">
        <f t="shared" si="21"/>
        <v>1500000</v>
      </c>
    </row>
    <row r="23" spans="1:36" ht="14.25" x14ac:dyDescent="0.2">
      <c r="A23" s="7" t="s">
        <v>59</v>
      </c>
      <c r="B23" s="7">
        <v>34</v>
      </c>
      <c r="C23" s="7">
        <v>0</v>
      </c>
      <c r="D23" s="8">
        <v>0.95</v>
      </c>
      <c r="E23" s="7">
        <v>80</v>
      </c>
      <c r="F23" s="7">
        <v>0</v>
      </c>
      <c r="G23" s="7">
        <v>70</v>
      </c>
      <c r="H23" s="11">
        <f t="shared" si="0"/>
        <v>56</v>
      </c>
      <c r="I23" s="12" t="s">
        <v>37</v>
      </c>
      <c r="J23" s="7">
        <f t="shared" si="1"/>
        <v>4</v>
      </c>
      <c r="K23" s="11">
        <f t="shared" si="2"/>
        <v>71.900000000000006</v>
      </c>
      <c r="L23" s="11">
        <f t="shared" si="3"/>
        <v>72.8</v>
      </c>
      <c r="M23" s="11">
        <f t="shared" si="4"/>
        <v>69.7</v>
      </c>
      <c r="N23" s="7">
        <f t="shared" si="5"/>
        <v>4</v>
      </c>
      <c r="O23" s="7">
        <f t="shared" si="6"/>
        <v>3</v>
      </c>
      <c r="P23" s="7">
        <f t="shared" si="7"/>
        <v>1</v>
      </c>
      <c r="Q23" s="7" t="str">
        <f t="shared" si="8"/>
        <v>Kích hoạt</v>
      </c>
      <c r="R23" s="7">
        <f t="shared" si="9"/>
        <v>1</v>
      </c>
      <c r="S23" s="14">
        <f t="shared" si="10"/>
        <v>0</v>
      </c>
      <c r="T23" s="7">
        <f t="shared" si="11"/>
        <v>0</v>
      </c>
      <c r="U23" s="7">
        <f t="shared" si="12"/>
        <v>4</v>
      </c>
      <c r="V23" s="7">
        <v>16</v>
      </c>
      <c r="W23" s="12" t="s">
        <v>37</v>
      </c>
      <c r="X23" s="7">
        <v>10</v>
      </c>
      <c r="Y23" s="18">
        <f t="shared" si="13"/>
        <v>11700000</v>
      </c>
      <c r="Z23" s="19">
        <v>10</v>
      </c>
      <c r="AA23" s="11">
        <f t="shared" si="22"/>
        <v>4</v>
      </c>
      <c r="AB23" s="11">
        <f t="shared" si="23"/>
        <v>0</v>
      </c>
      <c r="AC23" s="7" t="str">
        <f t="shared" si="14"/>
        <v>Hợp lệ</v>
      </c>
      <c r="AD23" s="18">
        <f t="shared" si="15"/>
        <v>0</v>
      </c>
      <c r="AE23" s="18">
        <f t="shared" si="16"/>
        <v>0</v>
      </c>
      <c r="AF23" s="18">
        <f t="shared" si="17"/>
        <v>0</v>
      </c>
      <c r="AG23" s="7">
        <f t="shared" si="18"/>
        <v>0</v>
      </c>
      <c r="AH23" s="18">
        <f t="shared" si="19"/>
        <v>0</v>
      </c>
      <c r="AI23" s="18">
        <f t="shared" si="20"/>
        <v>0</v>
      </c>
      <c r="AJ23" s="18">
        <f t="shared" si="21"/>
        <v>0</v>
      </c>
    </row>
    <row r="24" spans="1:36" ht="14.25" x14ac:dyDescent="0.2">
      <c r="A24" s="7" t="s">
        <v>60</v>
      </c>
      <c r="B24" s="7">
        <v>35</v>
      </c>
      <c r="C24" s="7">
        <v>0</v>
      </c>
      <c r="D24" s="8">
        <v>0.97</v>
      </c>
      <c r="E24" s="7">
        <v>90</v>
      </c>
      <c r="F24" s="7">
        <v>0</v>
      </c>
      <c r="G24" s="7">
        <v>80</v>
      </c>
      <c r="H24" s="11">
        <f t="shared" si="0"/>
        <v>64</v>
      </c>
      <c r="I24" s="12" t="s">
        <v>37</v>
      </c>
      <c r="J24" s="7">
        <f t="shared" si="1"/>
        <v>4</v>
      </c>
      <c r="K24" s="11">
        <f t="shared" si="2"/>
        <v>77.099999999999994</v>
      </c>
      <c r="L24" s="11">
        <f t="shared" si="3"/>
        <v>74.8</v>
      </c>
      <c r="M24" s="11">
        <f t="shared" si="4"/>
        <v>72.099999999999994</v>
      </c>
      <c r="N24" s="7">
        <f t="shared" si="5"/>
        <v>4</v>
      </c>
      <c r="O24" s="7">
        <f t="shared" si="6"/>
        <v>3</v>
      </c>
      <c r="P24" s="7">
        <f t="shared" si="7"/>
        <v>1</v>
      </c>
      <c r="Q24" s="7" t="str">
        <f t="shared" si="8"/>
        <v>Kích hoạt</v>
      </c>
      <c r="R24" s="7">
        <f t="shared" si="9"/>
        <v>1</v>
      </c>
      <c r="S24" s="14">
        <f t="shared" si="10"/>
        <v>0</v>
      </c>
      <c r="T24" s="7">
        <f t="shared" si="11"/>
        <v>0</v>
      </c>
      <c r="U24" s="7">
        <f t="shared" si="12"/>
        <v>4</v>
      </c>
      <c r="V24" s="7">
        <v>15</v>
      </c>
      <c r="W24" s="12" t="s">
        <v>37</v>
      </c>
      <c r="X24" s="7">
        <v>14</v>
      </c>
      <c r="Y24" s="18">
        <f t="shared" si="13"/>
        <v>11700000</v>
      </c>
      <c r="Z24" s="19">
        <v>14</v>
      </c>
      <c r="AA24" s="11">
        <f t="shared" si="22"/>
        <v>4</v>
      </c>
      <c r="AB24" s="11">
        <f t="shared" si="23"/>
        <v>0</v>
      </c>
      <c r="AC24" s="7" t="str">
        <f t="shared" si="14"/>
        <v>Hợp lệ</v>
      </c>
      <c r="AD24" s="18">
        <f t="shared" si="15"/>
        <v>0</v>
      </c>
      <c r="AE24" s="18">
        <f t="shared" si="16"/>
        <v>0</v>
      </c>
      <c r="AF24" s="18">
        <f t="shared" si="17"/>
        <v>0</v>
      </c>
      <c r="AG24" s="7">
        <f t="shared" si="18"/>
        <v>0</v>
      </c>
      <c r="AH24" s="18">
        <f t="shared" si="19"/>
        <v>0</v>
      </c>
      <c r="AI24" s="18">
        <f t="shared" si="20"/>
        <v>0</v>
      </c>
      <c r="AJ24" s="18">
        <f t="shared" si="21"/>
        <v>0</v>
      </c>
    </row>
    <row r="25" spans="1:36" ht="14.25" x14ac:dyDescent="0.2">
      <c r="A25" s="7" t="s">
        <v>61</v>
      </c>
      <c r="B25" s="7">
        <v>38</v>
      </c>
      <c r="C25" s="7">
        <v>0</v>
      </c>
      <c r="D25" s="8">
        <v>0.99</v>
      </c>
      <c r="E25" s="7">
        <v>110</v>
      </c>
      <c r="F25" s="7">
        <v>0</v>
      </c>
      <c r="G25" s="7">
        <v>65</v>
      </c>
      <c r="H25" s="11">
        <f t="shared" si="0"/>
        <v>52</v>
      </c>
      <c r="I25" s="12" t="s">
        <v>37</v>
      </c>
      <c r="J25" s="7">
        <f t="shared" si="1"/>
        <v>4</v>
      </c>
      <c r="K25" s="11">
        <f t="shared" si="2"/>
        <v>87.4</v>
      </c>
      <c r="L25" s="11">
        <f t="shared" si="3"/>
        <v>72.400000000000006</v>
      </c>
      <c r="M25" s="11">
        <f t="shared" si="4"/>
        <v>71.2</v>
      </c>
      <c r="N25" s="7">
        <f t="shared" si="5"/>
        <v>4</v>
      </c>
      <c r="O25" s="7">
        <f t="shared" si="6"/>
        <v>3</v>
      </c>
      <c r="P25" s="7">
        <f t="shared" si="7"/>
        <v>1</v>
      </c>
      <c r="Q25" s="7" t="str">
        <f t="shared" si="8"/>
        <v>Kích hoạt</v>
      </c>
      <c r="R25" s="7">
        <f t="shared" si="9"/>
        <v>1</v>
      </c>
      <c r="S25" s="14">
        <f t="shared" si="10"/>
        <v>0</v>
      </c>
      <c r="T25" s="7">
        <f t="shared" si="11"/>
        <v>0</v>
      </c>
      <c r="U25" s="7">
        <f t="shared" si="12"/>
        <v>4</v>
      </c>
      <c r="V25" s="7">
        <v>16</v>
      </c>
      <c r="W25" s="12" t="s">
        <v>37</v>
      </c>
      <c r="X25" s="7">
        <v>8</v>
      </c>
      <c r="Y25" s="18">
        <f t="shared" si="13"/>
        <v>11700000</v>
      </c>
      <c r="Z25" s="19">
        <v>8</v>
      </c>
      <c r="AA25" s="11">
        <f t="shared" si="22"/>
        <v>3.6666666666666665</v>
      </c>
      <c r="AB25" s="11">
        <f t="shared" si="23"/>
        <v>0.33333333333333348</v>
      </c>
      <c r="AC25" s="7" t="str">
        <f t="shared" si="14"/>
        <v>Hợp lệ</v>
      </c>
      <c r="AD25" s="18">
        <f t="shared" si="15"/>
        <v>0</v>
      </c>
      <c r="AE25" s="18">
        <f t="shared" si="16"/>
        <v>1500000.0000000007</v>
      </c>
      <c r="AF25" s="18">
        <f t="shared" si="17"/>
        <v>1500000.0000000007</v>
      </c>
      <c r="AG25" s="7">
        <f t="shared" si="18"/>
        <v>0</v>
      </c>
      <c r="AH25" s="18">
        <f t="shared" si="19"/>
        <v>0</v>
      </c>
      <c r="AI25" s="18">
        <f t="shared" si="20"/>
        <v>0</v>
      </c>
      <c r="AJ25" s="18">
        <f t="shared" si="21"/>
        <v>0</v>
      </c>
    </row>
    <row r="26" spans="1:36" ht="14.25" x14ac:dyDescent="0.2">
      <c r="A26" s="7" t="s">
        <v>62</v>
      </c>
      <c r="B26" s="7">
        <v>35</v>
      </c>
      <c r="C26" s="7">
        <v>0</v>
      </c>
      <c r="D26" s="8">
        <v>1</v>
      </c>
      <c r="E26" s="7">
        <v>88</v>
      </c>
      <c r="F26" s="7">
        <v>0</v>
      </c>
      <c r="G26" s="7">
        <v>50</v>
      </c>
      <c r="H26" s="11">
        <f t="shared" si="0"/>
        <v>40</v>
      </c>
      <c r="I26" s="12" t="s">
        <v>37</v>
      </c>
      <c r="J26" s="7">
        <f t="shared" si="1"/>
        <v>3</v>
      </c>
      <c r="K26" s="11">
        <f t="shared" si="2"/>
        <v>76.099999999999994</v>
      </c>
      <c r="L26" s="11">
        <f t="shared" si="3"/>
        <v>71.5</v>
      </c>
      <c r="M26" s="11">
        <f t="shared" si="4"/>
        <v>68.7</v>
      </c>
      <c r="N26" s="7">
        <f t="shared" si="5"/>
        <v>4</v>
      </c>
      <c r="O26" s="7">
        <f t="shared" si="6"/>
        <v>3</v>
      </c>
      <c r="P26" s="7">
        <f t="shared" si="7"/>
        <v>1</v>
      </c>
      <c r="Q26" s="7" t="str">
        <f t="shared" si="8"/>
        <v>Kích hoạt</v>
      </c>
      <c r="R26" s="7">
        <f t="shared" si="9"/>
        <v>1</v>
      </c>
      <c r="S26" s="14">
        <f t="shared" si="10"/>
        <v>0</v>
      </c>
      <c r="T26" s="7">
        <f t="shared" si="11"/>
        <v>0</v>
      </c>
      <c r="U26" s="7">
        <f t="shared" si="12"/>
        <v>4</v>
      </c>
      <c r="V26" s="7">
        <v>15</v>
      </c>
      <c r="W26" s="12" t="s">
        <v>37</v>
      </c>
      <c r="X26" s="7">
        <v>4</v>
      </c>
      <c r="Y26" s="18">
        <f t="shared" si="13"/>
        <v>11700000</v>
      </c>
      <c r="Z26" s="19">
        <v>5</v>
      </c>
      <c r="AA26" s="11">
        <f t="shared" si="22"/>
        <v>4</v>
      </c>
      <c r="AB26" s="11">
        <f t="shared" si="23"/>
        <v>1</v>
      </c>
      <c r="AC26" s="7" t="str">
        <f t="shared" si="14"/>
        <v>Hợp lệ</v>
      </c>
      <c r="AD26" s="18">
        <f t="shared" si="15"/>
        <v>1500000</v>
      </c>
      <c r="AE26" s="18">
        <f t="shared" si="16"/>
        <v>0</v>
      </c>
      <c r="AF26" s="18">
        <f t="shared" si="17"/>
        <v>1500000</v>
      </c>
      <c r="AG26" s="7">
        <f t="shared" si="18"/>
        <v>1</v>
      </c>
      <c r="AH26" s="18">
        <f t="shared" si="19"/>
        <v>1500000</v>
      </c>
      <c r="AI26" s="18">
        <f t="shared" si="20"/>
        <v>0</v>
      </c>
      <c r="AJ26" s="18">
        <f t="shared" si="21"/>
        <v>1500000</v>
      </c>
    </row>
    <row r="27" spans="1:36" ht="14.25" x14ac:dyDescent="0.2">
      <c r="A27" s="7" t="s">
        <v>63</v>
      </c>
      <c r="B27" s="7">
        <v>30</v>
      </c>
      <c r="C27" s="7">
        <v>75</v>
      </c>
      <c r="D27" s="8">
        <v>1</v>
      </c>
      <c r="E27" s="7">
        <v>15</v>
      </c>
      <c r="F27" s="7">
        <v>0</v>
      </c>
      <c r="G27" s="7">
        <v>15</v>
      </c>
      <c r="H27" s="11">
        <f t="shared" si="0"/>
        <v>12</v>
      </c>
      <c r="I27" s="12" t="s">
        <v>37</v>
      </c>
      <c r="J27" s="7">
        <f t="shared" si="1"/>
        <v>1</v>
      </c>
      <c r="K27" s="11">
        <f t="shared" si="2"/>
        <v>38.5</v>
      </c>
      <c r="L27" s="11">
        <f t="shared" si="3"/>
        <v>34.799999999999997</v>
      </c>
      <c r="M27" s="11">
        <f t="shared" si="4"/>
        <v>35.200000000000003</v>
      </c>
      <c r="N27" s="7">
        <f t="shared" si="5"/>
        <v>2</v>
      </c>
      <c r="O27" s="7">
        <f t="shared" si="6"/>
        <v>1</v>
      </c>
      <c r="P27" s="7">
        <f t="shared" si="7"/>
        <v>1</v>
      </c>
      <c r="Q27" s="7" t="str">
        <f t="shared" si="8"/>
        <v>Hủy slot (Mưa &gt; 20mm)</v>
      </c>
      <c r="R27" s="7">
        <f t="shared" si="9"/>
        <v>0</v>
      </c>
      <c r="S27" s="14">
        <f t="shared" si="10"/>
        <v>3600000</v>
      </c>
      <c r="T27" s="7">
        <f t="shared" si="11"/>
        <v>0</v>
      </c>
      <c r="U27" s="7">
        <f t="shared" si="12"/>
        <v>1</v>
      </c>
      <c r="V27" s="7">
        <v>16</v>
      </c>
      <c r="W27" s="12" t="s">
        <v>37</v>
      </c>
      <c r="X27" s="7">
        <v>1</v>
      </c>
      <c r="Y27" s="18">
        <f t="shared" si="13"/>
        <v>9000000</v>
      </c>
      <c r="Z27" s="19">
        <v>1</v>
      </c>
      <c r="AA27" s="11">
        <f t="shared" si="22"/>
        <v>3.6666666666666665</v>
      </c>
      <c r="AB27" s="11">
        <f t="shared" si="23"/>
        <v>2.6666666666666665</v>
      </c>
      <c r="AC27" s="7" t="str">
        <f t="shared" si="14"/>
        <v>Hợp lệ</v>
      </c>
      <c r="AD27" s="18">
        <f t="shared" si="15"/>
        <v>4000000</v>
      </c>
      <c r="AE27" s="18">
        <f t="shared" si="16"/>
        <v>0</v>
      </c>
      <c r="AF27" s="18">
        <f t="shared" si="17"/>
        <v>4000000</v>
      </c>
      <c r="AG27" s="7">
        <f t="shared" si="18"/>
        <v>0</v>
      </c>
      <c r="AH27" s="18">
        <f t="shared" si="19"/>
        <v>0</v>
      </c>
      <c r="AI27" s="18">
        <f t="shared" si="20"/>
        <v>0</v>
      </c>
      <c r="AJ27" s="18">
        <f t="shared" si="21"/>
        <v>3600000</v>
      </c>
    </row>
    <row r="28" spans="1:36" ht="14.25" x14ac:dyDescent="0.2">
      <c r="A28" s="7" t="s">
        <v>64</v>
      </c>
      <c r="B28" s="7">
        <v>30</v>
      </c>
      <c r="C28" s="7">
        <v>0</v>
      </c>
      <c r="D28" s="8">
        <v>1</v>
      </c>
      <c r="E28" s="7">
        <v>38</v>
      </c>
      <c r="F28" s="7">
        <v>1</v>
      </c>
      <c r="G28" s="7">
        <v>55</v>
      </c>
      <c r="H28" s="11">
        <f t="shared" si="0"/>
        <v>46.75</v>
      </c>
      <c r="I28" s="12" t="s">
        <v>37</v>
      </c>
      <c r="J28" s="7">
        <f t="shared" si="1"/>
        <v>3</v>
      </c>
      <c r="K28" s="11">
        <f t="shared" si="2"/>
        <v>50.3</v>
      </c>
      <c r="L28" s="11">
        <f t="shared" si="3"/>
        <v>57</v>
      </c>
      <c r="M28" s="11">
        <f t="shared" si="4"/>
        <v>60.9</v>
      </c>
      <c r="N28" s="7">
        <f t="shared" si="5"/>
        <v>4</v>
      </c>
      <c r="O28" s="7">
        <f t="shared" si="6"/>
        <v>3</v>
      </c>
      <c r="P28" s="7">
        <f t="shared" si="7"/>
        <v>1</v>
      </c>
      <c r="Q28" s="7" t="str">
        <f t="shared" si="8"/>
        <v>Kích hoạt</v>
      </c>
      <c r="R28" s="7">
        <f t="shared" si="9"/>
        <v>1</v>
      </c>
      <c r="S28" s="14">
        <f t="shared" si="10"/>
        <v>0</v>
      </c>
      <c r="T28" s="7">
        <f t="shared" si="11"/>
        <v>0</v>
      </c>
      <c r="U28" s="7">
        <f t="shared" si="12"/>
        <v>4</v>
      </c>
      <c r="V28" s="7">
        <v>12</v>
      </c>
      <c r="W28" s="12" t="s">
        <v>37</v>
      </c>
      <c r="X28" s="7">
        <v>6</v>
      </c>
      <c r="Y28" s="18">
        <f t="shared" si="13"/>
        <v>11700000</v>
      </c>
      <c r="Z28" s="19">
        <v>6</v>
      </c>
      <c r="AA28" s="11">
        <f t="shared" si="22"/>
        <v>2.6666666666666665</v>
      </c>
      <c r="AB28" s="11">
        <f t="shared" si="23"/>
        <v>0.33333333333333348</v>
      </c>
      <c r="AC28" s="7" t="str">
        <f t="shared" si="14"/>
        <v>Hợp lệ</v>
      </c>
      <c r="AD28" s="18">
        <f t="shared" si="15"/>
        <v>0</v>
      </c>
      <c r="AE28" s="18">
        <f t="shared" si="16"/>
        <v>1500000.0000000007</v>
      </c>
      <c r="AF28" s="18">
        <f t="shared" si="17"/>
        <v>1500000.0000000007</v>
      </c>
      <c r="AG28" s="7">
        <f t="shared" si="18"/>
        <v>1</v>
      </c>
      <c r="AH28" s="18">
        <f t="shared" si="19"/>
        <v>1500000</v>
      </c>
      <c r="AI28" s="18">
        <f t="shared" si="20"/>
        <v>0</v>
      </c>
      <c r="AJ28" s="18">
        <f t="shared" si="21"/>
        <v>1500000</v>
      </c>
    </row>
    <row r="29" spans="1:36" ht="14.25" x14ac:dyDescent="0.2">
      <c r="A29" s="7" t="s">
        <v>65</v>
      </c>
      <c r="B29" s="7">
        <v>32</v>
      </c>
      <c r="C29" s="7">
        <v>0</v>
      </c>
      <c r="D29" s="8">
        <v>1</v>
      </c>
      <c r="E29" s="7">
        <v>32</v>
      </c>
      <c r="F29" s="7">
        <v>1</v>
      </c>
      <c r="G29" s="7">
        <v>40</v>
      </c>
      <c r="H29" s="11">
        <f t="shared" si="0"/>
        <v>34</v>
      </c>
      <c r="I29" s="12" t="s">
        <v>37</v>
      </c>
      <c r="J29" s="7">
        <f t="shared" si="1"/>
        <v>2</v>
      </c>
      <c r="K29" s="11">
        <f t="shared" si="2"/>
        <v>47.3</v>
      </c>
      <c r="L29" s="11">
        <f t="shared" si="3"/>
        <v>36.4</v>
      </c>
      <c r="M29" s="11">
        <f t="shared" si="4"/>
        <v>41.6</v>
      </c>
      <c r="N29" s="7">
        <f t="shared" si="5"/>
        <v>3</v>
      </c>
      <c r="O29" s="7">
        <f t="shared" si="6"/>
        <v>2</v>
      </c>
      <c r="P29" s="7">
        <f t="shared" si="7"/>
        <v>1</v>
      </c>
      <c r="Q29" s="7" t="str">
        <f t="shared" si="8"/>
        <v>Kích hoạt</v>
      </c>
      <c r="R29" s="7">
        <f t="shared" si="9"/>
        <v>1</v>
      </c>
      <c r="S29" s="14">
        <f t="shared" si="10"/>
        <v>0</v>
      </c>
      <c r="T29" s="7">
        <f t="shared" si="11"/>
        <v>0</v>
      </c>
      <c r="U29" s="7">
        <f t="shared" si="12"/>
        <v>3</v>
      </c>
      <c r="V29" s="7">
        <v>12</v>
      </c>
      <c r="W29" s="12" t="s">
        <v>37</v>
      </c>
      <c r="X29" s="7">
        <v>3</v>
      </c>
      <c r="Y29" s="18">
        <f t="shared" si="13"/>
        <v>11700000</v>
      </c>
      <c r="Z29" s="19">
        <v>3</v>
      </c>
      <c r="AA29" s="11">
        <f t="shared" si="22"/>
        <v>2.3333333333333335</v>
      </c>
      <c r="AB29" s="11">
        <f t="shared" si="23"/>
        <v>0.33333333333333348</v>
      </c>
      <c r="AC29" s="7" t="str">
        <f t="shared" si="14"/>
        <v>Hợp lệ</v>
      </c>
      <c r="AD29" s="18">
        <f t="shared" si="15"/>
        <v>500000.00000000023</v>
      </c>
      <c r="AE29" s="18">
        <f t="shared" si="16"/>
        <v>0</v>
      </c>
      <c r="AF29" s="18">
        <f t="shared" si="17"/>
        <v>500000.00000000023</v>
      </c>
      <c r="AG29" s="7">
        <f t="shared" si="18"/>
        <v>1</v>
      </c>
      <c r="AH29" s="18">
        <f t="shared" si="19"/>
        <v>1500000</v>
      </c>
      <c r="AI29" s="18">
        <f t="shared" si="20"/>
        <v>0</v>
      </c>
      <c r="AJ29" s="18">
        <f t="shared" si="21"/>
        <v>1500000</v>
      </c>
    </row>
    <row r="30" spans="1:36" ht="14.25" x14ac:dyDescent="0.2">
      <c r="A30" s="7" t="s">
        <v>66</v>
      </c>
      <c r="B30" s="7">
        <v>32</v>
      </c>
      <c r="C30" s="7">
        <v>0</v>
      </c>
      <c r="D30" s="8">
        <v>1</v>
      </c>
      <c r="E30" s="7">
        <v>25</v>
      </c>
      <c r="F30" s="7">
        <v>0</v>
      </c>
      <c r="G30" s="7">
        <v>35</v>
      </c>
      <c r="H30" s="11">
        <f t="shared" si="0"/>
        <v>28</v>
      </c>
      <c r="I30" s="12" t="s">
        <v>37</v>
      </c>
      <c r="J30" s="7">
        <f t="shared" si="1"/>
        <v>2</v>
      </c>
      <c r="K30" s="11">
        <f t="shared" si="2"/>
        <v>43.7</v>
      </c>
      <c r="L30" s="11">
        <f t="shared" si="3"/>
        <v>29.3</v>
      </c>
      <c r="M30" s="11">
        <f t="shared" si="4"/>
        <v>25.9</v>
      </c>
      <c r="N30" s="7">
        <f t="shared" si="5"/>
        <v>2</v>
      </c>
      <c r="O30" s="7">
        <f t="shared" si="6"/>
        <v>1</v>
      </c>
      <c r="P30" s="7">
        <f t="shared" si="7"/>
        <v>1</v>
      </c>
      <c r="Q30" s="7" t="str">
        <f t="shared" si="8"/>
        <v>Kích hoạt</v>
      </c>
      <c r="R30" s="7">
        <f t="shared" si="9"/>
        <v>1</v>
      </c>
      <c r="S30" s="14">
        <f t="shared" si="10"/>
        <v>0</v>
      </c>
      <c r="T30" s="7">
        <f t="shared" si="11"/>
        <v>0</v>
      </c>
      <c r="U30" s="7">
        <f t="shared" si="12"/>
        <v>2</v>
      </c>
      <c r="V30" s="7">
        <v>15</v>
      </c>
      <c r="W30" s="12" t="s">
        <v>37</v>
      </c>
      <c r="X30" s="7">
        <v>2</v>
      </c>
      <c r="Y30" s="18">
        <f t="shared" si="13"/>
        <v>9000000</v>
      </c>
      <c r="Z30" s="19">
        <v>2</v>
      </c>
      <c r="AA30" s="11">
        <f t="shared" si="22"/>
        <v>2</v>
      </c>
      <c r="AB30" s="11">
        <f t="shared" si="23"/>
        <v>0</v>
      </c>
      <c r="AC30" s="7" t="str">
        <f t="shared" si="14"/>
        <v>Hợp lệ</v>
      </c>
      <c r="AD30" s="18">
        <f t="shared" si="15"/>
        <v>0</v>
      </c>
      <c r="AE30" s="18">
        <f t="shared" si="16"/>
        <v>0</v>
      </c>
      <c r="AF30" s="18">
        <f t="shared" si="17"/>
        <v>0</v>
      </c>
      <c r="AG30" s="7">
        <f t="shared" si="18"/>
        <v>0</v>
      </c>
      <c r="AH30" s="18">
        <f t="shared" si="19"/>
        <v>0</v>
      </c>
      <c r="AI30" s="18">
        <f t="shared" si="20"/>
        <v>0</v>
      </c>
      <c r="AJ30" s="18">
        <f t="shared" si="21"/>
        <v>0</v>
      </c>
    </row>
    <row r="31" spans="1:36" ht="14.25" x14ac:dyDescent="0.2">
      <c r="A31" s="7" t="s">
        <v>67</v>
      </c>
      <c r="B31" s="7">
        <v>30</v>
      </c>
      <c r="C31" s="7">
        <v>10</v>
      </c>
      <c r="D31" s="8">
        <v>1</v>
      </c>
      <c r="E31" s="7">
        <v>18</v>
      </c>
      <c r="F31" s="7">
        <v>0</v>
      </c>
      <c r="G31" s="7">
        <v>25</v>
      </c>
      <c r="H31" s="11">
        <f t="shared" si="0"/>
        <v>20</v>
      </c>
      <c r="I31" s="12" t="s">
        <v>37</v>
      </c>
      <c r="J31" s="7">
        <f t="shared" si="1"/>
        <v>2</v>
      </c>
      <c r="K31" s="11">
        <f t="shared" si="2"/>
        <v>40.1</v>
      </c>
      <c r="L31" s="11">
        <f t="shared" si="3"/>
        <v>36.9</v>
      </c>
      <c r="M31" s="11">
        <f t="shared" si="4"/>
        <v>33</v>
      </c>
      <c r="N31" s="7">
        <f t="shared" si="5"/>
        <v>2</v>
      </c>
      <c r="O31" s="7">
        <f t="shared" si="6"/>
        <v>1</v>
      </c>
      <c r="P31" s="7">
        <f t="shared" si="7"/>
        <v>1</v>
      </c>
      <c r="Q31" s="7" t="str">
        <f t="shared" si="8"/>
        <v>Kích hoạt</v>
      </c>
      <c r="R31" s="7">
        <f t="shared" si="9"/>
        <v>1</v>
      </c>
      <c r="S31" s="14">
        <f t="shared" si="10"/>
        <v>0</v>
      </c>
      <c r="T31" s="7">
        <f t="shared" si="11"/>
        <v>0</v>
      </c>
      <c r="U31" s="7">
        <f t="shared" si="12"/>
        <v>2</v>
      </c>
      <c r="V31" s="7">
        <v>15</v>
      </c>
      <c r="W31" s="12" t="s">
        <v>37</v>
      </c>
      <c r="X31" s="7">
        <v>1</v>
      </c>
      <c r="Y31" s="18">
        <f t="shared" si="13"/>
        <v>9000000</v>
      </c>
      <c r="Z31" s="19">
        <v>2</v>
      </c>
      <c r="AA31" s="11">
        <f t="shared" si="22"/>
        <v>2.3333333333333335</v>
      </c>
      <c r="AB31" s="11">
        <f t="shared" si="23"/>
        <v>0.33333333333333348</v>
      </c>
      <c r="AC31" s="7" t="str">
        <f t="shared" si="14"/>
        <v>Hợp lệ</v>
      </c>
      <c r="AD31" s="18">
        <f t="shared" si="15"/>
        <v>500000.00000000023</v>
      </c>
      <c r="AE31" s="18">
        <f t="shared" si="16"/>
        <v>0</v>
      </c>
      <c r="AF31" s="18">
        <f t="shared" si="17"/>
        <v>500000.00000000023</v>
      </c>
      <c r="AG31" s="7">
        <f t="shared" si="18"/>
        <v>0</v>
      </c>
      <c r="AH31" s="18">
        <f t="shared" si="19"/>
        <v>0</v>
      </c>
      <c r="AI31" s="18">
        <f t="shared" si="20"/>
        <v>0</v>
      </c>
      <c r="AJ31" s="18">
        <f t="shared" si="21"/>
        <v>0</v>
      </c>
    </row>
    <row r="32" spans="1:36" ht="14.25" x14ac:dyDescent="0.2">
      <c r="A32" s="7" t="s">
        <v>68</v>
      </c>
      <c r="B32" s="7">
        <v>31</v>
      </c>
      <c r="C32" s="7">
        <v>0</v>
      </c>
      <c r="D32" s="8">
        <v>1</v>
      </c>
      <c r="E32" s="7">
        <v>12</v>
      </c>
      <c r="F32" s="7">
        <v>0</v>
      </c>
      <c r="G32" s="7">
        <v>15</v>
      </c>
      <c r="H32" s="11">
        <f t="shared" si="0"/>
        <v>12</v>
      </c>
      <c r="I32" s="12" t="s">
        <v>37</v>
      </c>
      <c r="J32" s="7">
        <f t="shared" si="1"/>
        <v>1</v>
      </c>
      <c r="K32" s="11">
        <f t="shared" si="2"/>
        <v>37</v>
      </c>
      <c r="L32" s="11">
        <f t="shared" si="3"/>
        <v>23.3</v>
      </c>
      <c r="M32" s="11">
        <f t="shared" si="4"/>
        <v>19.600000000000001</v>
      </c>
      <c r="N32" s="7">
        <f t="shared" si="5"/>
        <v>1</v>
      </c>
      <c r="O32" s="7">
        <f t="shared" si="6"/>
        <v>1</v>
      </c>
      <c r="P32" s="7">
        <f t="shared" si="7"/>
        <v>0</v>
      </c>
      <c r="Q32" s="7" t="str">
        <f t="shared" si="8"/>
        <v>Kích hoạt</v>
      </c>
      <c r="R32" s="7">
        <f t="shared" si="9"/>
        <v>0</v>
      </c>
      <c r="S32" s="14">
        <f t="shared" si="10"/>
        <v>0</v>
      </c>
      <c r="T32" s="7">
        <f t="shared" si="11"/>
        <v>0</v>
      </c>
      <c r="U32" s="7">
        <f t="shared" si="12"/>
        <v>1</v>
      </c>
      <c r="V32" s="7">
        <v>15</v>
      </c>
      <c r="W32" s="12" t="s">
        <v>37</v>
      </c>
      <c r="X32" s="7">
        <v>1</v>
      </c>
      <c r="Y32" s="18">
        <f t="shared" si="13"/>
        <v>9000000</v>
      </c>
      <c r="Z32" s="19">
        <v>1</v>
      </c>
      <c r="AA32" s="11">
        <f t="shared" si="22"/>
        <v>2</v>
      </c>
      <c r="AB32" s="11">
        <f t="shared" si="23"/>
        <v>1</v>
      </c>
      <c r="AC32" s="7" t="str">
        <f t="shared" si="14"/>
        <v>Hợp lệ</v>
      </c>
      <c r="AD32" s="18">
        <f t="shared" si="15"/>
        <v>1500000</v>
      </c>
      <c r="AE32" s="18">
        <f t="shared" si="16"/>
        <v>0</v>
      </c>
      <c r="AF32" s="18">
        <f t="shared" si="17"/>
        <v>1500000</v>
      </c>
      <c r="AG32" s="7">
        <f t="shared" si="18"/>
        <v>0</v>
      </c>
      <c r="AH32" s="18">
        <f t="shared" si="19"/>
        <v>0</v>
      </c>
      <c r="AI32" s="18">
        <f t="shared" si="20"/>
        <v>0</v>
      </c>
      <c r="AJ32" s="18">
        <f t="shared" si="21"/>
        <v>0</v>
      </c>
    </row>
    <row r="33" spans="2:23" ht="12.75" x14ac:dyDescent="0.2">
      <c r="W33" s="30"/>
    </row>
    <row r="34" spans="2:23" ht="15" x14ac:dyDescent="0.2">
      <c r="B34" s="34" t="s">
        <v>69</v>
      </c>
      <c r="C34" s="35"/>
      <c r="D34" s="35"/>
      <c r="E34" s="35"/>
      <c r="F34" s="36"/>
      <c r="W34" s="30"/>
    </row>
    <row r="35" spans="2:23" ht="12.75" x14ac:dyDescent="0.2">
      <c r="B35" s="22" t="s">
        <v>70</v>
      </c>
      <c r="C35" s="22" t="s">
        <v>71</v>
      </c>
      <c r="D35" s="22" t="s">
        <v>72</v>
      </c>
      <c r="E35" s="22" t="s">
        <v>73</v>
      </c>
      <c r="F35" s="22" t="s">
        <v>74</v>
      </c>
      <c r="W35" s="30"/>
    </row>
    <row r="36" spans="2:23" ht="12.75" x14ac:dyDescent="0.2">
      <c r="B36" s="22" t="s">
        <v>75</v>
      </c>
      <c r="C36" s="23">
        <f>AVERAGE(AB6:AB32)</f>
        <v>0.82716049382716028</v>
      </c>
      <c r="D36" s="23">
        <f>AVERAGE(AG6:AG32)</f>
        <v>0.25925925925925924</v>
      </c>
      <c r="E36" s="23">
        <f t="shared" ref="E36:E42" si="24">C36 - D36</f>
        <v>0.56790123456790109</v>
      </c>
      <c r="F36" s="24">
        <f t="shared" ref="F36:F38" si="25">(C36 - D36) / C36</f>
        <v>0.68656716417910446</v>
      </c>
      <c r="W36" s="30"/>
    </row>
    <row r="37" spans="2:23" ht="12.75" x14ac:dyDescent="0.2">
      <c r="B37" s="22" t="s">
        <v>76</v>
      </c>
      <c r="C37" s="24">
        <f>SUM(AB6:AB32) / SUM(J6:J32)</f>
        <v>0.25093632958801493</v>
      </c>
      <c r="D37" s="24">
        <f>SUM(AG6:AG32) / SUM(J6:J32)</f>
        <v>7.8651685393258425E-2</v>
      </c>
      <c r="E37" s="24">
        <f t="shared" si="24"/>
        <v>0.1722846441947565</v>
      </c>
      <c r="F37" s="24">
        <f t="shared" si="25"/>
        <v>0.68656716417910446</v>
      </c>
      <c r="W37" s="30"/>
    </row>
    <row r="38" spans="2:23" ht="12.75" x14ac:dyDescent="0.2">
      <c r="B38" s="22" t="s">
        <v>77</v>
      </c>
      <c r="C38" s="23">
        <f>AVERAGE(AB6:AB32) * 17.2</f>
        <v>14.227160493827157</v>
      </c>
      <c r="D38" s="23">
        <f>D36 * 17.2</f>
        <v>4.4592592592592588</v>
      </c>
      <c r="E38" s="23">
        <f t="shared" si="24"/>
        <v>9.7679012345678977</v>
      </c>
      <c r="F38" s="24">
        <f t="shared" si="25"/>
        <v>0.68656716417910446</v>
      </c>
      <c r="W38" s="30"/>
    </row>
    <row r="39" spans="2:23" ht="12.75" x14ac:dyDescent="0.2">
      <c r="B39" s="22" t="s">
        <v>78</v>
      </c>
      <c r="C39" s="25">
        <f>SUM(AD3:AD32)</f>
        <v>16500000</v>
      </c>
      <c r="D39" s="25">
        <f>SUM(AH3:AH32)</f>
        <v>13500000</v>
      </c>
      <c r="E39" s="25">
        <f t="shared" si="24"/>
        <v>3000000</v>
      </c>
      <c r="F39" s="24">
        <f t="shared" ref="F39:F40" si="26">IF(C39=0, 0, (C39 - D39) / C39)</f>
        <v>0.18181818181818182</v>
      </c>
      <c r="W39" s="30"/>
    </row>
    <row r="40" spans="2:23" ht="12.75" x14ac:dyDescent="0.2">
      <c r="B40" s="22" t="s">
        <v>79</v>
      </c>
      <c r="C40" s="25">
        <f>SUM(AE3:AE32)</f>
        <v>51000000</v>
      </c>
      <c r="D40" s="25">
        <f>SUM(AI3:AI32)</f>
        <v>0</v>
      </c>
      <c r="E40" s="25">
        <f t="shared" si="24"/>
        <v>51000000</v>
      </c>
      <c r="F40" s="24">
        <f t="shared" si="26"/>
        <v>1</v>
      </c>
      <c r="W40" s="30"/>
    </row>
    <row r="41" spans="2:23" ht="12.75" x14ac:dyDescent="0.2">
      <c r="B41" s="22" t="s">
        <v>80</v>
      </c>
      <c r="C41" s="25">
        <v>0</v>
      </c>
      <c r="D41" s="25">
        <f>SUM(S3:S32)</f>
        <v>7200000</v>
      </c>
      <c r="E41" s="25">
        <f t="shared" si="24"/>
        <v>-7200000</v>
      </c>
      <c r="F41" s="26" t="str">
        <f>IF(C41=0, "N/A", (C41-D41)/C41)</f>
        <v>N/A</v>
      </c>
      <c r="W41" s="30"/>
    </row>
    <row r="42" spans="2:23" ht="12.75" x14ac:dyDescent="0.2">
      <c r="B42" s="27" t="s">
        <v>81</v>
      </c>
      <c r="C42" s="28">
        <f>SUM(AF3:AF32)</f>
        <v>67500000</v>
      </c>
      <c r="D42" s="28">
        <f>SUM(AJ3:AJ32)</f>
        <v>20700000</v>
      </c>
      <c r="E42" s="28">
        <f t="shared" si="24"/>
        <v>46800000</v>
      </c>
      <c r="F42" s="29">
        <f>(C42 - D42) / C42</f>
        <v>0.69333333333333336</v>
      </c>
      <c r="W42" s="30"/>
    </row>
    <row r="43" spans="2:23" ht="12.75" x14ac:dyDescent="0.2">
      <c r="W43" s="30"/>
    </row>
    <row r="44" spans="2:23" ht="12.75" x14ac:dyDescent="0.2">
      <c r="W44" s="30"/>
    </row>
    <row r="45" spans="2:23" ht="12.75" x14ac:dyDescent="0.2">
      <c r="W45" s="30"/>
    </row>
    <row r="46" spans="2:23" ht="12.75" x14ac:dyDescent="0.2">
      <c r="W46" s="30"/>
    </row>
    <row r="47" spans="2:23" ht="12.75" x14ac:dyDescent="0.2">
      <c r="W47" s="30"/>
    </row>
    <row r="48" spans="2:23" ht="12.75" x14ac:dyDescent="0.2">
      <c r="W48" s="30"/>
    </row>
    <row r="49" spans="23:23" ht="12.75" x14ac:dyDescent="0.2">
      <c r="W49" s="30"/>
    </row>
    <row r="50" spans="23:23" ht="12.75" x14ac:dyDescent="0.2">
      <c r="W50" s="30"/>
    </row>
    <row r="51" spans="23:23" ht="12.75" x14ac:dyDescent="0.2">
      <c r="W51" s="30"/>
    </row>
    <row r="52" spans="23:23" ht="12.75" x14ac:dyDescent="0.2">
      <c r="W52" s="30"/>
    </row>
    <row r="53" spans="23:23" ht="12.75" x14ac:dyDescent="0.2">
      <c r="W53" s="30"/>
    </row>
    <row r="54" spans="23:23" ht="12.75" x14ac:dyDescent="0.2">
      <c r="W54" s="30"/>
    </row>
    <row r="55" spans="23:23" ht="12.75" x14ac:dyDescent="0.2">
      <c r="W55" s="30"/>
    </row>
    <row r="56" spans="23:23" ht="12.75" x14ac:dyDescent="0.2">
      <c r="W56" s="30"/>
    </row>
    <row r="57" spans="23:23" ht="12.75" x14ac:dyDescent="0.2">
      <c r="W57" s="30"/>
    </row>
    <row r="58" spans="23:23" ht="12.75" x14ac:dyDescent="0.2">
      <c r="W58" s="30"/>
    </row>
    <row r="59" spans="23:23" ht="12.75" x14ac:dyDescent="0.2">
      <c r="W59" s="30"/>
    </row>
    <row r="60" spans="23:23" ht="12.75" x14ac:dyDescent="0.2">
      <c r="W60" s="30"/>
    </row>
    <row r="61" spans="23:23" ht="12.75" x14ac:dyDescent="0.2">
      <c r="W61" s="30"/>
    </row>
    <row r="62" spans="23:23" ht="12.75" x14ac:dyDescent="0.2">
      <c r="W62" s="30"/>
    </row>
    <row r="63" spans="23:23" ht="12.75" x14ac:dyDescent="0.2">
      <c r="W63" s="30"/>
    </row>
    <row r="64" spans="23:23" ht="12.75" x14ac:dyDescent="0.2">
      <c r="W64" s="30"/>
    </row>
    <row r="65" spans="23:23" ht="12.75" x14ac:dyDescent="0.2">
      <c r="W65" s="30"/>
    </row>
    <row r="66" spans="23:23" ht="12.75" x14ac:dyDescent="0.2">
      <c r="W66" s="30"/>
    </row>
    <row r="67" spans="23:23" ht="12.75" x14ac:dyDescent="0.2">
      <c r="W67" s="30"/>
    </row>
    <row r="68" spans="23:23" ht="12.75" x14ac:dyDescent="0.2">
      <c r="W68" s="30"/>
    </row>
    <row r="69" spans="23:23" ht="12.75" x14ac:dyDescent="0.2">
      <c r="W69" s="30"/>
    </row>
    <row r="70" spans="23:23" ht="12.75" x14ac:dyDescent="0.2">
      <c r="W70" s="30"/>
    </row>
    <row r="71" spans="23:23" ht="12.75" x14ac:dyDescent="0.2">
      <c r="W71" s="30"/>
    </row>
    <row r="72" spans="23:23" ht="12.75" x14ac:dyDescent="0.2">
      <c r="W72" s="30"/>
    </row>
    <row r="73" spans="23:23" ht="12.75" x14ac:dyDescent="0.2">
      <c r="W73" s="30"/>
    </row>
    <row r="74" spans="23:23" ht="12.75" x14ac:dyDescent="0.2">
      <c r="W74" s="30"/>
    </row>
    <row r="75" spans="23:23" ht="12.75" x14ac:dyDescent="0.2">
      <c r="W75" s="30"/>
    </row>
    <row r="76" spans="23:23" ht="12.75" x14ac:dyDescent="0.2">
      <c r="W76" s="30"/>
    </row>
    <row r="77" spans="23:23" ht="12.75" x14ac:dyDescent="0.2">
      <c r="W77" s="30"/>
    </row>
    <row r="78" spans="23:23" ht="12.75" x14ac:dyDescent="0.2">
      <c r="W78" s="30"/>
    </row>
    <row r="79" spans="23:23" ht="12.75" x14ac:dyDescent="0.2">
      <c r="W79" s="30"/>
    </row>
    <row r="80" spans="23:23" ht="12.75" x14ac:dyDescent="0.2">
      <c r="W80" s="30"/>
    </row>
    <row r="81" spans="23:23" ht="12.75" x14ac:dyDescent="0.2">
      <c r="W81" s="30"/>
    </row>
    <row r="82" spans="23:23" ht="12.75" x14ac:dyDescent="0.2">
      <c r="W82" s="30"/>
    </row>
    <row r="83" spans="23:23" ht="12.75" x14ac:dyDescent="0.2">
      <c r="W83" s="30"/>
    </row>
    <row r="84" spans="23:23" ht="12.75" x14ac:dyDescent="0.2">
      <c r="W84" s="30"/>
    </row>
    <row r="85" spans="23:23" ht="12.75" x14ac:dyDescent="0.2">
      <c r="W85" s="30"/>
    </row>
    <row r="86" spans="23:23" ht="12.75" x14ac:dyDescent="0.2">
      <c r="W86" s="30"/>
    </row>
    <row r="87" spans="23:23" ht="12.75" x14ac:dyDescent="0.2">
      <c r="W87" s="30"/>
    </row>
    <row r="88" spans="23:23" ht="12.75" x14ac:dyDescent="0.2">
      <c r="W88" s="30"/>
    </row>
    <row r="89" spans="23:23" ht="12.75" x14ac:dyDescent="0.2">
      <c r="W89" s="30"/>
    </row>
    <row r="90" spans="23:23" ht="12.75" x14ac:dyDescent="0.2">
      <c r="W90" s="30"/>
    </row>
    <row r="91" spans="23:23" ht="12.75" x14ac:dyDescent="0.2">
      <c r="W91" s="30"/>
    </row>
    <row r="92" spans="23:23" ht="12.75" x14ac:dyDescent="0.2">
      <c r="W92" s="30"/>
    </row>
    <row r="93" spans="23:23" ht="12.75" x14ac:dyDescent="0.2">
      <c r="W93" s="30"/>
    </row>
    <row r="94" spans="23:23" ht="12.75" x14ac:dyDescent="0.2">
      <c r="W94" s="30"/>
    </row>
    <row r="95" spans="23:23" ht="12.75" x14ac:dyDescent="0.2">
      <c r="W95" s="30"/>
    </row>
    <row r="96" spans="23:23" ht="12.75" x14ac:dyDescent="0.2">
      <c r="W96" s="30"/>
    </row>
    <row r="97" spans="23:23" ht="12.75" x14ac:dyDescent="0.2">
      <c r="W97" s="30"/>
    </row>
    <row r="98" spans="23:23" ht="12.75" x14ac:dyDescent="0.2">
      <c r="W98" s="30"/>
    </row>
    <row r="99" spans="23:23" ht="12.75" x14ac:dyDescent="0.2">
      <c r="W99" s="30"/>
    </row>
    <row r="100" spans="23:23" ht="12.75" x14ac:dyDescent="0.2">
      <c r="W100" s="30"/>
    </row>
    <row r="101" spans="23:23" ht="12.75" x14ac:dyDescent="0.2">
      <c r="W101" s="30"/>
    </row>
    <row r="102" spans="23:23" ht="12.75" x14ac:dyDescent="0.2">
      <c r="W102" s="30"/>
    </row>
    <row r="103" spans="23:23" ht="12.75" x14ac:dyDescent="0.2">
      <c r="W103" s="30"/>
    </row>
    <row r="104" spans="23:23" ht="12.75" x14ac:dyDescent="0.2">
      <c r="W104" s="30"/>
    </row>
    <row r="105" spans="23:23" ht="12.75" x14ac:dyDescent="0.2">
      <c r="W105" s="30"/>
    </row>
    <row r="106" spans="23:23" ht="12.75" x14ac:dyDescent="0.2">
      <c r="W106" s="30"/>
    </row>
    <row r="107" spans="23:23" ht="12.75" x14ac:dyDescent="0.2">
      <c r="W107" s="30"/>
    </row>
    <row r="108" spans="23:23" ht="12.75" x14ac:dyDescent="0.2">
      <c r="W108" s="30"/>
    </row>
    <row r="109" spans="23:23" ht="12.75" x14ac:dyDescent="0.2">
      <c r="W109" s="30"/>
    </row>
    <row r="110" spans="23:23" ht="12.75" x14ac:dyDescent="0.2">
      <c r="W110" s="30"/>
    </row>
    <row r="111" spans="23:23" ht="12.75" x14ac:dyDescent="0.2">
      <c r="W111" s="30"/>
    </row>
    <row r="112" spans="23:23" ht="12.75" x14ac:dyDescent="0.2">
      <c r="W112" s="30"/>
    </row>
    <row r="113" spans="23:23" ht="12.75" x14ac:dyDescent="0.2">
      <c r="W113" s="30"/>
    </row>
    <row r="114" spans="23:23" ht="12.75" x14ac:dyDescent="0.2">
      <c r="W114" s="30"/>
    </row>
    <row r="115" spans="23:23" ht="12.75" x14ac:dyDescent="0.2">
      <c r="W115" s="30"/>
    </row>
    <row r="116" spans="23:23" ht="12.75" x14ac:dyDescent="0.2">
      <c r="W116" s="30"/>
    </row>
    <row r="117" spans="23:23" ht="12.75" x14ac:dyDescent="0.2">
      <c r="W117" s="30"/>
    </row>
    <row r="118" spans="23:23" ht="12.75" x14ac:dyDescent="0.2">
      <c r="W118" s="30"/>
    </row>
    <row r="119" spans="23:23" ht="12.75" x14ac:dyDescent="0.2">
      <c r="W119" s="30"/>
    </row>
    <row r="120" spans="23:23" ht="12.75" x14ac:dyDescent="0.2">
      <c r="W120" s="30"/>
    </row>
    <row r="121" spans="23:23" ht="12.75" x14ac:dyDescent="0.2">
      <c r="W121" s="30"/>
    </row>
    <row r="122" spans="23:23" ht="12.75" x14ac:dyDescent="0.2">
      <c r="W122" s="30"/>
    </row>
    <row r="123" spans="23:23" ht="12.75" x14ac:dyDescent="0.2">
      <c r="W123" s="30"/>
    </row>
    <row r="124" spans="23:23" ht="12.75" x14ac:dyDescent="0.2">
      <c r="W124" s="30"/>
    </row>
    <row r="125" spans="23:23" ht="12.75" x14ac:dyDescent="0.2">
      <c r="W125" s="30"/>
    </row>
    <row r="126" spans="23:23" ht="12.75" x14ac:dyDescent="0.2">
      <c r="W126" s="30"/>
    </row>
    <row r="127" spans="23:23" ht="12.75" x14ac:dyDescent="0.2">
      <c r="W127" s="30"/>
    </row>
    <row r="128" spans="23:23" ht="12.75" x14ac:dyDescent="0.2">
      <c r="W128" s="30"/>
    </row>
    <row r="129" spans="23:23" ht="12.75" x14ac:dyDescent="0.2">
      <c r="W129" s="30"/>
    </row>
    <row r="130" spans="23:23" ht="12.75" x14ac:dyDescent="0.2">
      <c r="W130" s="30"/>
    </row>
    <row r="131" spans="23:23" ht="12.75" x14ac:dyDescent="0.2">
      <c r="W131" s="30"/>
    </row>
    <row r="132" spans="23:23" ht="12.75" x14ac:dyDescent="0.2">
      <c r="W132" s="30"/>
    </row>
    <row r="133" spans="23:23" ht="12.75" x14ac:dyDescent="0.2">
      <c r="W133" s="30"/>
    </row>
    <row r="134" spans="23:23" ht="12.75" x14ac:dyDescent="0.2">
      <c r="W134" s="30"/>
    </row>
    <row r="135" spans="23:23" ht="12.75" x14ac:dyDescent="0.2">
      <c r="W135" s="30"/>
    </row>
    <row r="136" spans="23:23" ht="12.75" x14ac:dyDescent="0.2">
      <c r="W136" s="30"/>
    </row>
    <row r="137" spans="23:23" ht="12.75" x14ac:dyDescent="0.2">
      <c r="W137" s="30"/>
    </row>
    <row r="138" spans="23:23" ht="12.75" x14ac:dyDescent="0.2">
      <c r="W138" s="30"/>
    </row>
    <row r="139" spans="23:23" ht="12.75" x14ac:dyDescent="0.2">
      <c r="W139" s="30"/>
    </row>
    <row r="140" spans="23:23" ht="12.75" x14ac:dyDescent="0.2">
      <c r="W140" s="30"/>
    </row>
    <row r="141" spans="23:23" ht="12.75" x14ac:dyDescent="0.2">
      <c r="W141" s="30"/>
    </row>
    <row r="142" spans="23:23" ht="12.75" x14ac:dyDescent="0.2">
      <c r="W142" s="30"/>
    </row>
    <row r="143" spans="23:23" ht="12.75" x14ac:dyDescent="0.2">
      <c r="W143" s="30"/>
    </row>
    <row r="144" spans="23:23" ht="12.75" x14ac:dyDescent="0.2">
      <c r="W144" s="30"/>
    </row>
    <row r="145" spans="23:23" ht="12.75" x14ac:dyDescent="0.2">
      <c r="W145" s="30"/>
    </row>
    <row r="146" spans="23:23" ht="12.75" x14ac:dyDescent="0.2">
      <c r="W146" s="30"/>
    </row>
    <row r="147" spans="23:23" ht="12.75" x14ac:dyDescent="0.2">
      <c r="W147" s="30"/>
    </row>
    <row r="148" spans="23:23" ht="12.75" x14ac:dyDescent="0.2">
      <c r="W148" s="30"/>
    </row>
    <row r="149" spans="23:23" ht="12.75" x14ac:dyDescent="0.2">
      <c r="W149" s="30"/>
    </row>
    <row r="150" spans="23:23" ht="12.75" x14ac:dyDescent="0.2">
      <c r="W150" s="30"/>
    </row>
    <row r="151" spans="23:23" ht="12.75" x14ac:dyDescent="0.2">
      <c r="W151" s="30"/>
    </row>
    <row r="152" spans="23:23" ht="12.75" x14ac:dyDescent="0.2">
      <c r="W152" s="30"/>
    </row>
    <row r="153" spans="23:23" ht="12.75" x14ac:dyDescent="0.2">
      <c r="W153" s="30"/>
    </row>
    <row r="154" spans="23:23" ht="12.75" x14ac:dyDescent="0.2">
      <c r="W154" s="30"/>
    </row>
    <row r="155" spans="23:23" ht="12.75" x14ac:dyDescent="0.2">
      <c r="W155" s="30"/>
    </row>
    <row r="156" spans="23:23" ht="12.75" x14ac:dyDescent="0.2">
      <c r="W156" s="30"/>
    </row>
    <row r="157" spans="23:23" ht="12.75" x14ac:dyDescent="0.2">
      <c r="W157" s="30"/>
    </row>
    <row r="158" spans="23:23" ht="12.75" x14ac:dyDescent="0.2">
      <c r="W158" s="30"/>
    </row>
    <row r="159" spans="23:23" ht="12.75" x14ac:dyDescent="0.2">
      <c r="W159" s="30"/>
    </row>
    <row r="160" spans="23:23" ht="12.75" x14ac:dyDescent="0.2">
      <c r="W160" s="30"/>
    </row>
    <row r="161" spans="23:23" ht="12.75" x14ac:dyDescent="0.2">
      <c r="W161" s="30"/>
    </row>
    <row r="162" spans="23:23" ht="12.75" x14ac:dyDescent="0.2">
      <c r="W162" s="30"/>
    </row>
    <row r="163" spans="23:23" ht="12.75" x14ac:dyDescent="0.2">
      <c r="W163" s="30"/>
    </row>
    <row r="164" spans="23:23" ht="12.75" x14ac:dyDescent="0.2">
      <c r="W164" s="30"/>
    </row>
    <row r="165" spans="23:23" ht="12.75" x14ac:dyDescent="0.2">
      <c r="W165" s="30"/>
    </row>
    <row r="166" spans="23:23" ht="12.75" x14ac:dyDescent="0.2">
      <c r="W166" s="30"/>
    </row>
    <row r="167" spans="23:23" ht="12.75" x14ac:dyDescent="0.2">
      <c r="W167" s="30"/>
    </row>
    <row r="168" spans="23:23" ht="12.75" x14ac:dyDescent="0.2">
      <c r="W168" s="30"/>
    </row>
    <row r="169" spans="23:23" ht="12.75" x14ac:dyDescent="0.2">
      <c r="W169" s="30"/>
    </row>
    <row r="170" spans="23:23" ht="12.75" x14ac:dyDescent="0.2">
      <c r="W170" s="30"/>
    </row>
    <row r="171" spans="23:23" ht="12.75" x14ac:dyDescent="0.2">
      <c r="W171" s="30"/>
    </row>
    <row r="172" spans="23:23" ht="12.75" x14ac:dyDescent="0.2">
      <c r="W172" s="30"/>
    </row>
    <row r="173" spans="23:23" ht="12.75" x14ac:dyDescent="0.2">
      <c r="W173" s="30"/>
    </row>
    <row r="174" spans="23:23" ht="12.75" x14ac:dyDescent="0.2">
      <c r="W174" s="30"/>
    </row>
    <row r="175" spans="23:23" ht="12.75" x14ac:dyDescent="0.2">
      <c r="W175" s="30"/>
    </row>
    <row r="176" spans="23:23" ht="12.75" x14ac:dyDescent="0.2">
      <c r="W176" s="30"/>
    </row>
    <row r="177" spans="23:23" ht="12.75" x14ac:dyDescent="0.2">
      <c r="W177" s="30"/>
    </row>
    <row r="178" spans="23:23" ht="12.75" x14ac:dyDescent="0.2">
      <c r="W178" s="30"/>
    </row>
    <row r="179" spans="23:23" ht="12.75" x14ac:dyDescent="0.2">
      <c r="W179" s="30"/>
    </row>
    <row r="180" spans="23:23" ht="12.75" x14ac:dyDescent="0.2">
      <c r="W180" s="30"/>
    </row>
    <row r="181" spans="23:23" ht="12.75" x14ac:dyDescent="0.2">
      <c r="W181" s="30"/>
    </row>
    <row r="182" spans="23:23" ht="12.75" x14ac:dyDescent="0.2">
      <c r="W182" s="30"/>
    </row>
    <row r="183" spans="23:23" ht="12.75" x14ac:dyDescent="0.2">
      <c r="W183" s="30"/>
    </row>
    <row r="184" spans="23:23" ht="12.75" x14ac:dyDescent="0.2">
      <c r="W184" s="30"/>
    </row>
    <row r="185" spans="23:23" ht="12.75" x14ac:dyDescent="0.2">
      <c r="W185" s="30"/>
    </row>
    <row r="186" spans="23:23" ht="12.75" x14ac:dyDescent="0.2">
      <c r="W186" s="30"/>
    </row>
    <row r="187" spans="23:23" ht="12.75" x14ac:dyDescent="0.2">
      <c r="W187" s="30"/>
    </row>
    <row r="188" spans="23:23" ht="12.75" x14ac:dyDescent="0.2">
      <c r="W188" s="30"/>
    </row>
    <row r="189" spans="23:23" ht="12.75" x14ac:dyDescent="0.2">
      <c r="W189" s="30"/>
    </row>
    <row r="190" spans="23:23" ht="12.75" x14ac:dyDescent="0.2">
      <c r="W190" s="30"/>
    </row>
    <row r="191" spans="23:23" ht="12.75" x14ac:dyDescent="0.2">
      <c r="W191" s="30"/>
    </row>
    <row r="192" spans="23:23" ht="12.75" x14ac:dyDescent="0.2">
      <c r="W192" s="30"/>
    </row>
    <row r="193" spans="23:23" ht="12.75" x14ac:dyDescent="0.2">
      <c r="W193" s="30"/>
    </row>
    <row r="194" spans="23:23" ht="12.75" x14ac:dyDescent="0.2">
      <c r="W194" s="30"/>
    </row>
    <row r="195" spans="23:23" ht="12.75" x14ac:dyDescent="0.2">
      <c r="W195" s="30"/>
    </row>
    <row r="196" spans="23:23" ht="12.75" x14ac:dyDescent="0.2">
      <c r="W196" s="30"/>
    </row>
    <row r="197" spans="23:23" ht="12.75" x14ac:dyDescent="0.2">
      <c r="W197" s="30"/>
    </row>
    <row r="198" spans="23:23" ht="12.75" x14ac:dyDescent="0.2">
      <c r="W198" s="30"/>
    </row>
    <row r="199" spans="23:23" ht="12.75" x14ac:dyDescent="0.2">
      <c r="W199" s="30"/>
    </row>
    <row r="200" spans="23:23" ht="12.75" x14ac:dyDescent="0.2">
      <c r="W200" s="30"/>
    </row>
    <row r="201" spans="23:23" ht="12.75" x14ac:dyDescent="0.2">
      <c r="W201" s="30"/>
    </row>
    <row r="202" spans="23:23" ht="12.75" x14ac:dyDescent="0.2">
      <c r="W202" s="30"/>
    </row>
    <row r="203" spans="23:23" ht="12.75" x14ac:dyDescent="0.2">
      <c r="W203" s="30"/>
    </row>
    <row r="204" spans="23:23" ht="12.75" x14ac:dyDescent="0.2">
      <c r="W204" s="30"/>
    </row>
    <row r="205" spans="23:23" ht="12.75" x14ac:dyDescent="0.2">
      <c r="W205" s="30"/>
    </row>
    <row r="206" spans="23:23" ht="12.75" x14ac:dyDescent="0.2">
      <c r="W206" s="30"/>
    </row>
    <row r="207" spans="23:23" ht="12.75" x14ac:dyDescent="0.2">
      <c r="W207" s="30"/>
    </row>
    <row r="208" spans="23:23" ht="12.75" x14ac:dyDescent="0.2">
      <c r="W208" s="30"/>
    </row>
    <row r="209" spans="23:23" ht="12.75" x14ac:dyDescent="0.2">
      <c r="W209" s="30"/>
    </row>
    <row r="210" spans="23:23" ht="12.75" x14ac:dyDescent="0.2">
      <c r="W210" s="30"/>
    </row>
    <row r="211" spans="23:23" ht="12.75" x14ac:dyDescent="0.2">
      <c r="W211" s="30"/>
    </row>
    <row r="212" spans="23:23" ht="12.75" x14ac:dyDescent="0.2">
      <c r="W212" s="30"/>
    </row>
    <row r="213" spans="23:23" ht="12.75" x14ac:dyDescent="0.2">
      <c r="W213" s="30"/>
    </row>
    <row r="214" spans="23:23" ht="12.75" x14ac:dyDescent="0.2">
      <c r="W214" s="30"/>
    </row>
    <row r="215" spans="23:23" ht="12.75" x14ac:dyDescent="0.2">
      <c r="W215" s="30"/>
    </row>
    <row r="216" spans="23:23" ht="12.75" x14ac:dyDescent="0.2">
      <c r="W216" s="30"/>
    </row>
    <row r="217" spans="23:23" ht="12.75" x14ac:dyDescent="0.2">
      <c r="W217" s="30"/>
    </row>
    <row r="218" spans="23:23" ht="12.75" x14ac:dyDescent="0.2">
      <c r="W218" s="30"/>
    </row>
    <row r="219" spans="23:23" ht="12.75" x14ac:dyDescent="0.2">
      <c r="W219" s="30"/>
    </row>
    <row r="220" spans="23:23" ht="12.75" x14ac:dyDescent="0.2">
      <c r="W220" s="30"/>
    </row>
    <row r="221" spans="23:23" ht="12.75" x14ac:dyDescent="0.2">
      <c r="W221" s="30"/>
    </row>
    <row r="222" spans="23:23" ht="12.75" x14ac:dyDescent="0.2">
      <c r="W222" s="30"/>
    </row>
    <row r="223" spans="23:23" ht="12.75" x14ac:dyDescent="0.2">
      <c r="W223" s="30"/>
    </row>
    <row r="224" spans="23:23" ht="12.75" x14ac:dyDescent="0.2">
      <c r="W224" s="30"/>
    </row>
    <row r="225" spans="23:23" ht="12.75" x14ac:dyDescent="0.2">
      <c r="W225" s="30"/>
    </row>
    <row r="226" spans="23:23" ht="12.75" x14ac:dyDescent="0.2">
      <c r="W226" s="30"/>
    </row>
    <row r="227" spans="23:23" ht="12.75" x14ac:dyDescent="0.2">
      <c r="W227" s="30"/>
    </row>
    <row r="228" spans="23:23" ht="12.75" x14ac:dyDescent="0.2">
      <c r="W228" s="30"/>
    </row>
    <row r="229" spans="23:23" ht="12.75" x14ac:dyDescent="0.2">
      <c r="W229" s="30"/>
    </row>
    <row r="230" spans="23:23" ht="12.75" x14ac:dyDescent="0.2">
      <c r="W230" s="30"/>
    </row>
    <row r="231" spans="23:23" ht="12.75" x14ac:dyDescent="0.2">
      <c r="W231" s="30"/>
    </row>
    <row r="232" spans="23:23" ht="12.75" x14ac:dyDescent="0.2">
      <c r="W232" s="30"/>
    </row>
    <row r="233" spans="23:23" ht="12.75" x14ac:dyDescent="0.2">
      <c r="W233" s="30"/>
    </row>
    <row r="234" spans="23:23" ht="12.75" x14ac:dyDescent="0.2">
      <c r="W234" s="30"/>
    </row>
    <row r="235" spans="23:23" ht="12.75" x14ac:dyDescent="0.2">
      <c r="W235" s="30"/>
    </row>
    <row r="236" spans="23:23" ht="12.75" x14ac:dyDescent="0.2">
      <c r="W236" s="30"/>
    </row>
    <row r="237" spans="23:23" ht="12.75" x14ac:dyDescent="0.2">
      <c r="W237" s="30"/>
    </row>
    <row r="238" spans="23:23" ht="12.75" x14ac:dyDescent="0.2">
      <c r="W238" s="30"/>
    </row>
    <row r="239" spans="23:23" ht="12.75" x14ac:dyDescent="0.2">
      <c r="W239" s="30"/>
    </row>
    <row r="240" spans="23:23" ht="12.75" x14ac:dyDescent="0.2">
      <c r="W240" s="30"/>
    </row>
    <row r="241" spans="23:23" ht="12.75" x14ac:dyDescent="0.2">
      <c r="W241" s="30"/>
    </row>
    <row r="242" spans="23:23" ht="12.75" x14ac:dyDescent="0.2">
      <c r="W242" s="30"/>
    </row>
    <row r="243" spans="23:23" ht="12.75" x14ac:dyDescent="0.2">
      <c r="W243" s="30"/>
    </row>
    <row r="244" spans="23:23" ht="12.75" x14ac:dyDescent="0.2">
      <c r="W244" s="30"/>
    </row>
    <row r="245" spans="23:23" ht="12.75" x14ac:dyDescent="0.2">
      <c r="W245" s="30"/>
    </row>
    <row r="246" spans="23:23" ht="12.75" x14ac:dyDescent="0.2">
      <c r="W246" s="30"/>
    </row>
    <row r="247" spans="23:23" ht="12.75" x14ac:dyDescent="0.2">
      <c r="W247" s="30"/>
    </row>
    <row r="248" spans="23:23" ht="12.75" x14ac:dyDescent="0.2">
      <c r="W248" s="30"/>
    </row>
    <row r="249" spans="23:23" ht="12.75" x14ac:dyDescent="0.2">
      <c r="W249" s="30"/>
    </row>
    <row r="250" spans="23:23" ht="12.75" x14ac:dyDescent="0.2">
      <c r="W250" s="30"/>
    </row>
    <row r="251" spans="23:23" ht="12.75" x14ac:dyDescent="0.2">
      <c r="W251" s="30"/>
    </row>
    <row r="252" spans="23:23" ht="12.75" x14ac:dyDescent="0.2">
      <c r="W252" s="30"/>
    </row>
    <row r="253" spans="23:23" ht="12.75" x14ac:dyDescent="0.2">
      <c r="W253" s="30"/>
    </row>
    <row r="254" spans="23:23" ht="12.75" x14ac:dyDescent="0.2">
      <c r="W254" s="30"/>
    </row>
    <row r="255" spans="23:23" ht="12.75" x14ac:dyDescent="0.2">
      <c r="W255" s="30"/>
    </row>
    <row r="256" spans="23:23" ht="12.75" x14ac:dyDescent="0.2">
      <c r="W256" s="30"/>
    </row>
    <row r="257" spans="23:23" ht="12.75" x14ac:dyDescent="0.2">
      <c r="W257" s="30"/>
    </row>
    <row r="258" spans="23:23" ht="12.75" x14ac:dyDescent="0.2">
      <c r="W258" s="30"/>
    </row>
    <row r="259" spans="23:23" ht="12.75" x14ac:dyDescent="0.2">
      <c r="W259" s="30"/>
    </row>
    <row r="260" spans="23:23" ht="12.75" x14ac:dyDescent="0.2">
      <c r="W260" s="30"/>
    </row>
    <row r="261" spans="23:23" ht="12.75" x14ac:dyDescent="0.2">
      <c r="W261" s="30"/>
    </row>
    <row r="262" spans="23:23" ht="12.75" x14ac:dyDescent="0.2">
      <c r="W262" s="30"/>
    </row>
    <row r="263" spans="23:23" ht="12.75" x14ac:dyDescent="0.2">
      <c r="W263" s="30"/>
    </row>
    <row r="264" spans="23:23" ht="12.75" x14ac:dyDescent="0.2">
      <c r="W264" s="30"/>
    </row>
    <row r="265" spans="23:23" ht="12.75" x14ac:dyDescent="0.2">
      <c r="W265" s="30"/>
    </row>
    <row r="266" spans="23:23" ht="12.75" x14ac:dyDescent="0.2">
      <c r="W266" s="30"/>
    </row>
    <row r="267" spans="23:23" ht="12.75" x14ac:dyDescent="0.2">
      <c r="W267" s="30"/>
    </row>
    <row r="268" spans="23:23" ht="12.75" x14ac:dyDescent="0.2">
      <c r="W268" s="30"/>
    </row>
    <row r="269" spans="23:23" ht="12.75" x14ac:dyDescent="0.2">
      <c r="W269" s="30"/>
    </row>
    <row r="270" spans="23:23" ht="12.75" x14ac:dyDescent="0.2">
      <c r="W270" s="30"/>
    </row>
    <row r="271" spans="23:23" ht="12.75" x14ac:dyDescent="0.2">
      <c r="W271" s="30"/>
    </row>
    <row r="272" spans="23:23" ht="12.75" x14ac:dyDescent="0.2">
      <c r="W272" s="30"/>
    </row>
    <row r="273" spans="23:23" ht="12.75" x14ac:dyDescent="0.2">
      <c r="W273" s="30"/>
    </row>
    <row r="274" spans="23:23" ht="12.75" x14ac:dyDescent="0.2">
      <c r="W274" s="30"/>
    </row>
    <row r="275" spans="23:23" ht="12.75" x14ac:dyDescent="0.2">
      <c r="W275" s="30"/>
    </row>
    <row r="276" spans="23:23" ht="12.75" x14ac:dyDescent="0.2">
      <c r="W276" s="30"/>
    </row>
    <row r="277" spans="23:23" ht="12.75" x14ac:dyDescent="0.2">
      <c r="W277" s="30"/>
    </row>
    <row r="278" spans="23:23" ht="12.75" x14ac:dyDescent="0.2">
      <c r="W278" s="30"/>
    </row>
    <row r="279" spans="23:23" ht="12.75" x14ac:dyDescent="0.2">
      <c r="W279" s="30"/>
    </row>
    <row r="280" spans="23:23" ht="12.75" x14ac:dyDescent="0.2">
      <c r="W280" s="30"/>
    </row>
    <row r="281" spans="23:23" ht="12.75" x14ac:dyDescent="0.2">
      <c r="W281" s="30"/>
    </row>
    <row r="282" spans="23:23" ht="12.75" x14ac:dyDescent="0.2">
      <c r="W282" s="30"/>
    </row>
    <row r="283" spans="23:23" ht="12.75" x14ac:dyDescent="0.2">
      <c r="W283" s="30"/>
    </row>
    <row r="284" spans="23:23" ht="12.75" x14ac:dyDescent="0.2">
      <c r="W284" s="30"/>
    </row>
    <row r="285" spans="23:23" ht="12.75" x14ac:dyDescent="0.2">
      <c r="W285" s="30"/>
    </row>
    <row r="286" spans="23:23" ht="12.75" x14ac:dyDescent="0.2">
      <c r="W286" s="30"/>
    </row>
    <row r="287" spans="23:23" ht="12.75" x14ac:dyDescent="0.2">
      <c r="W287" s="30"/>
    </row>
    <row r="288" spans="23:23" ht="12.75" x14ac:dyDescent="0.2">
      <c r="W288" s="30"/>
    </row>
    <row r="289" spans="23:23" ht="12.75" x14ac:dyDescent="0.2">
      <c r="W289" s="30"/>
    </row>
    <row r="290" spans="23:23" ht="12.75" x14ac:dyDescent="0.2">
      <c r="W290" s="30"/>
    </row>
    <row r="291" spans="23:23" ht="12.75" x14ac:dyDescent="0.2">
      <c r="W291" s="30"/>
    </row>
    <row r="292" spans="23:23" ht="12.75" x14ac:dyDescent="0.2">
      <c r="W292" s="30"/>
    </row>
    <row r="293" spans="23:23" ht="12.75" x14ac:dyDescent="0.2">
      <c r="W293" s="30"/>
    </row>
    <row r="294" spans="23:23" ht="12.75" x14ac:dyDescent="0.2">
      <c r="W294" s="30"/>
    </row>
    <row r="295" spans="23:23" ht="12.75" x14ac:dyDescent="0.2">
      <c r="W295" s="30"/>
    </row>
    <row r="296" spans="23:23" ht="12.75" x14ac:dyDescent="0.2">
      <c r="W296" s="30"/>
    </row>
    <row r="297" spans="23:23" ht="12.75" x14ac:dyDescent="0.2">
      <c r="W297" s="30"/>
    </row>
    <row r="298" spans="23:23" ht="12.75" x14ac:dyDescent="0.2">
      <c r="W298" s="30"/>
    </row>
    <row r="299" spans="23:23" ht="12.75" x14ac:dyDescent="0.2">
      <c r="W299" s="30"/>
    </row>
    <row r="300" spans="23:23" ht="12.75" x14ac:dyDescent="0.2">
      <c r="W300" s="30"/>
    </row>
    <row r="301" spans="23:23" ht="12.75" x14ac:dyDescent="0.2">
      <c r="W301" s="30"/>
    </row>
    <row r="302" spans="23:23" ht="12.75" x14ac:dyDescent="0.2">
      <c r="W302" s="30"/>
    </row>
    <row r="303" spans="23:23" ht="12.75" x14ac:dyDescent="0.2">
      <c r="W303" s="30"/>
    </row>
    <row r="304" spans="23:23" ht="12.75" x14ac:dyDescent="0.2">
      <c r="W304" s="30"/>
    </row>
    <row r="305" spans="23:23" ht="12.75" x14ac:dyDescent="0.2">
      <c r="W305" s="30"/>
    </row>
    <row r="306" spans="23:23" ht="12.75" x14ac:dyDescent="0.2">
      <c r="W306" s="30"/>
    </row>
    <row r="307" spans="23:23" ht="12.75" x14ac:dyDescent="0.2">
      <c r="W307" s="30"/>
    </row>
    <row r="308" spans="23:23" ht="12.75" x14ac:dyDescent="0.2">
      <c r="W308" s="30"/>
    </row>
    <row r="309" spans="23:23" ht="12.75" x14ac:dyDescent="0.2">
      <c r="W309" s="30"/>
    </row>
    <row r="310" spans="23:23" ht="12.75" x14ac:dyDescent="0.2">
      <c r="W310" s="30"/>
    </row>
    <row r="311" spans="23:23" ht="12.75" x14ac:dyDescent="0.2">
      <c r="W311" s="30"/>
    </row>
    <row r="312" spans="23:23" ht="12.75" x14ac:dyDescent="0.2">
      <c r="W312" s="30"/>
    </row>
    <row r="313" spans="23:23" ht="12.75" x14ac:dyDescent="0.2">
      <c r="W313" s="30"/>
    </row>
    <row r="314" spans="23:23" ht="12.75" x14ac:dyDescent="0.2">
      <c r="W314" s="30"/>
    </row>
    <row r="315" spans="23:23" ht="12.75" x14ac:dyDescent="0.2">
      <c r="W315" s="30"/>
    </row>
    <row r="316" spans="23:23" ht="12.75" x14ac:dyDescent="0.2">
      <c r="W316" s="30"/>
    </row>
    <row r="317" spans="23:23" ht="12.75" x14ac:dyDescent="0.2">
      <c r="W317" s="30"/>
    </row>
    <row r="318" spans="23:23" ht="12.75" x14ac:dyDescent="0.2">
      <c r="W318" s="30"/>
    </row>
    <row r="319" spans="23:23" ht="12.75" x14ac:dyDescent="0.2">
      <c r="W319" s="30"/>
    </row>
    <row r="320" spans="23:23" ht="12.75" x14ac:dyDescent="0.2">
      <c r="W320" s="30"/>
    </row>
    <row r="321" spans="23:23" ht="12.75" x14ac:dyDescent="0.2">
      <c r="W321" s="30"/>
    </row>
    <row r="322" spans="23:23" ht="12.75" x14ac:dyDescent="0.2">
      <c r="W322" s="30"/>
    </row>
    <row r="323" spans="23:23" ht="12.75" x14ac:dyDescent="0.2">
      <c r="W323" s="30"/>
    </row>
    <row r="324" spans="23:23" ht="12.75" x14ac:dyDescent="0.2">
      <c r="W324" s="30"/>
    </row>
    <row r="325" spans="23:23" ht="12.75" x14ac:dyDescent="0.2">
      <c r="W325" s="30"/>
    </row>
    <row r="326" spans="23:23" ht="12.75" x14ac:dyDescent="0.2">
      <c r="W326" s="30"/>
    </row>
    <row r="327" spans="23:23" ht="12.75" x14ac:dyDescent="0.2">
      <c r="W327" s="30"/>
    </row>
    <row r="328" spans="23:23" ht="12.75" x14ac:dyDescent="0.2">
      <c r="W328" s="30"/>
    </row>
    <row r="329" spans="23:23" ht="12.75" x14ac:dyDescent="0.2">
      <c r="W329" s="30"/>
    </row>
    <row r="330" spans="23:23" ht="12.75" x14ac:dyDescent="0.2">
      <c r="W330" s="30"/>
    </row>
    <row r="331" spans="23:23" ht="12.75" x14ac:dyDescent="0.2">
      <c r="W331" s="30"/>
    </row>
    <row r="332" spans="23:23" ht="12.75" x14ac:dyDescent="0.2">
      <c r="W332" s="30"/>
    </row>
    <row r="333" spans="23:23" ht="12.75" x14ac:dyDescent="0.2">
      <c r="W333" s="30"/>
    </row>
    <row r="334" spans="23:23" ht="12.75" x14ac:dyDescent="0.2">
      <c r="W334" s="30"/>
    </row>
    <row r="335" spans="23:23" ht="12.75" x14ac:dyDescent="0.2">
      <c r="W335" s="30"/>
    </row>
    <row r="336" spans="23:23" ht="12.75" x14ac:dyDescent="0.2">
      <c r="W336" s="30"/>
    </row>
    <row r="337" spans="23:23" ht="12.75" x14ac:dyDescent="0.2">
      <c r="W337" s="30"/>
    </row>
    <row r="338" spans="23:23" ht="12.75" x14ac:dyDescent="0.2">
      <c r="W338" s="30"/>
    </row>
    <row r="339" spans="23:23" ht="12.75" x14ac:dyDescent="0.2">
      <c r="W339" s="30"/>
    </row>
    <row r="340" spans="23:23" ht="12.75" x14ac:dyDescent="0.2">
      <c r="W340" s="30"/>
    </row>
    <row r="341" spans="23:23" ht="12.75" x14ac:dyDescent="0.2">
      <c r="W341" s="30"/>
    </row>
    <row r="342" spans="23:23" ht="12.75" x14ac:dyDescent="0.2">
      <c r="W342" s="30"/>
    </row>
    <row r="343" spans="23:23" ht="12.75" x14ac:dyDescent="0.2">
      <c r="W343" s="30"/>
    </row>
    <row r="344" spans="23:23" ht="12.75" x14ac:dyDescent="0.2">
      <c r="W344" s="30"/>
    </row>
    <row r="345" spans="23:23" ht="12.75" x14ac:dyDescent="0.2">
      <c r="W345" s="30"/>
    </row>
    <row r="346" spans="23:23" ht="12.75" x14ac:dyDescent="0.2">
      <c r="W346" s="30"/>
    </row>
    <row r="347" spans="23:23" ht="12.75" x14ac:dyDescent="0.2">
      <c r="W347" s="30"/>
    </row>
    <row r="348" spans="23:23" ht="12.75" x14ac:dyDescent="0.2">
      <c r="W348" s="30"/>
    </row>
    <row r="349" spans="23:23" ht="12.75" x14ac:dyDescent="0.2">
      <c r="W349" s="30"/>
    </row>
    <row r="350" spans="23:23" ht="12.75" x14ac:dyDescent="0.2">
      <c r="W350" s="30"/>
    </row>
    <row r="351" spans="23:23" ht="12.75" x14ac:dyDescent="0.2">
      <c r="W351" s="30"/>
    </row>
    <row r="352" spans="23:23" ht="12.75" x14ac:dyDescent="0.2">
      <c r="W352" s="30"/>
    </row>
    <row r="353" spans="23:23" ht="12.75" x14ac:dyDescent="0.2">
      <c r="W353" s="30"/>
    </row>
    <row r="354" spans="23:23" ht="12.75" x14ac:dyDescent="0.2">
      <c r="W354" s="30"/>
    </row>
    <row r="355" spans="23:23" ht="12.75" x14ac:dyDescent="0.2">
      <c r="W355" s="30"/>
    </row>
    <row r="356" spans="23:23" ht="12.75" x14ac:dyDescent="0.2">
      <c r="W356" s="30"/>
    </row>
    <row r="357" spans="23:23" ht="12.75" x14ac:dyDescent="0.2">
      <c r="W357" s="30"/>
    </row>
    <row r="358" spans="23:23" ht="12.75" x14ac:dyDescent="0.2">
      <c r="W358" s="30"/>
    </row>
    <row r="359" spans="23:23" ht="12.75" x14ac:dyDescent="0.2">
      <c r="W359" s="30"/>
    </row>
    <row r="360" spans="23:23" ht="12.75" x14ac:dyDescent="0.2">
      <c r="W360" s="30"/>
    </row>
    <row r="361" spans="23:23" ht="12.75" x14ac:dyDescent="0.2">
      <c r="W361" s="30"/>
    </row>
    <row r="362" spans="23:23" ht="12.75" x14ac:dyDescent="0.2">
      <c r="W362" s="30"/>
    </row>
    <row r="363" spans="23:23" ht="12.75" x14ac:dyDescent="0.2">
      <c r="W363" s="30"/>
    </row>
    <row r="364" spans="23:23" ht="12.75" x14ac:dyDescent="0.2">
      <c r="W364" s="30"/>
    </row>
    <row r="365" spans="23:23" ht="12.75" x14ac:dyDescent="0.2">
      <c r="W365" s="30"/>
    </row>
    <row r="366" spans="23:23" ht="12.75" x14ac:dyDescent="0.2">
      <c r="W366" s="30"/>
    </row>
    <row r="367" spans="23:23" ht="12.75" x14ac:dyDescent="0.2">
      <c r="W367" s="30"/>
    </row>
    <row r="368" spans="23:23" ht="12.75" x14ac:dyDescent="0.2">
      <c r="W368" s="30"/>
    </row>
    <row r="369" spans="23:23" ht="12.75" x14ac:dyDescent="0.2">
      <c r="W369" s="30"/>
    </row>
    <row r="370" spans="23:23" ht="12.75" x14ac:dyDescent="0.2">
      <c r="W370" s="30"/>
    </row>
    <row r="371" spans="23:23" ht="12.75" x14ac:dyDescent="0.2">
      <c r="W371" s="30"/>
    </row>
    <row r="372" spans="23:23" ht="12.75" x14ac:dyDescent="0.2">
      <c r="W372" s="30"/>
    </row>
    <row r="373" spans="23:23" ht="12.75" x14ac:dyDescent="0.2">
      <c r="W373" s="30"/>
    </row>
    <row r="374" spans="23:23" ht="12.75" x14ac:dyDescent="0.2">
      <c r="W374" s="30"/>
    </row>
    <row r="375" spans="23:23" ht="12.75" x14ac:dyDescent="0.2">
      <c r="W375" s="30"/>
    </row>
    <row r="376" spans="23:23" ht="12.75" x14ac:dyDescent="0.2">
      <c r="W376" s="30"/>
    </row>
    <row r="377" spans="23:23" ht="12.75" x14ac:dyDescent="0.2">
      <c r="W377" s="30"/>
    </row>
    <row r="378" spans="23:23" ht="12.75" x14ac:dyDescent="0.2">
      <c r="W378" s="30"/>
    </row>
    <row r="379" spans="23:23" ht="12.75" x14ac:dyDescent="0.2">
      <c r="W379" s="30"/>
    </row>
    <row r="380" spans="23:23" ht="12.75" x14ac:dyDescent="0.2">
      <c r="W380" s="30"/>
    </row>
    <row r="381" spans="23:23" ht="12.75" x14ac:dyDescent="0.2">
      <c r="W381" s="30"/>
    </row>
    <row r="382" spans="23:23" ht="12.75" x14ac:dyDescent="0.2">
      <c r="W382" s="30"/>
    </row>
    <row r="383" spans="23:23" ht="12.75" x14ac:dyDescent="0.2">
      <c r="W383" s="30"/>
    </row>
    <row r="384" spans="23:23" ht="12.75" x14ac:dyDescent="0.2">
      <c r="W384" s="30"/>
    </row>
    <row r="385" spans="23:23" ht="12.75" x14ac:dyDescent="0.2">
      <c r="W385" s="30"/>
    </row>
    <row r="386" spans="23:23" ht="12.75" x14ac:dyDescent="0.2">
      <c r="W386" s="30"/>
    </row>
    <row r="387" spans="23:23" ht="12.75" x14ac:dyDescent="0.2">
      <c r="W387" s="30"/>
    </row>
    <row r="388" spans="23:23" ht="12.75" x14ac:dyDescent="0.2">
      <c r="W388" s="30"/>
    </row>
    <row r="389" spans="23:23" ht="12.75" x14ac:dyDescent="0.2">
      <c r="W389" s="30"/>
    </row>
    <row r="390" spans="23:23" ht="12.75" x14ac:dyDescent="0.2">
      <c r="W390" s="30"/>
    </row>
    <row r="391" spans="23:23" ht="12.75" x14ac:dyDescent="0.2">
      <c r="W391" s="30"/>
    </row>
    <row r="392" spans="23:23" ht="12.75" x14ac:dyDescent="0.2">
      <c r="W392" s="30"/>
    </row>
    <row r="393" spans="23:23" ht="12.75" x14ac:dyDescent="0.2">
      <c r="W393" s="30"/>
    </row>
    <row r="394" spans="23:23" ht="12.75" x14ac:dyDescent="0.2">
      <c r="W394" s="30"/>
    </row>
    <row r="395" spans="23:23" ht="12.75" x14ac:dyDescent="0.2">
      <c r="W395" s="30"/>
    </row>
    <row r="396" spans="23:23" ht="12.75" x14ac:dyDescent="0.2">
      <c r="W396" s="30"/>
    </row>
    <row r="397" spans="23:23" ht="12.75" x14ac:dyDescent="0.2">
      <c r="W397" s="30"/>
    </row>
    <row r="398" spans="23:23" ht="12.75" x14ac:dyDescent="0.2">
      <c r="W398" s="30"/>
    </row>
    <row r="399" spans="23:23" ht="12.75" x14ac:dyDescent="0.2">
      <c r="W399" s="30"/>
    </row>
    <row r="400" spans="23:23" ht="12.75" x14ac:dyDescent="0.2">
      <c r="W400" s="30"/>
    </row>
    <row r="401" spans="23:23" ht="12.75" x14ac:dyDescent="0.2">
      <c r="W401" s="30"/>
    </row>
    <row r="402" spans="23:23" ht="12.75" x14ac:dyDescent="0.2">
      <c r="W402" s="30"/>
    </row>
    <row r="403" spans="23:23" ht="12.75" x14ac:dyDescent="0.2">
      <c r="W403" s="30"/>
    </row>
    <row r="404" spans="23:23" ht="12.75" x14ac:dyDescent="0.2">
      <c r="W404" s="30"/>
    </row>
    <row r="405" spans="23:23" ht="12.75" x14ac:dyDescent="0.2">
      <c r="W405" s="30"/>
    </row>
    <row r="406" spans="23:23" ht="12.75" x14ac:dyDescent="0.2">
      <c r="W406" s="30"/>
    </row>
    <row r="407" spans="23:23" ht="12.75" x14ac:dyDescent="0.2">
      <c r="W407" s="30"/>
    </row>
    <row r="408" spans="23:23" ht="12.75" x14ac:dyDescent="0.2">
      <c r="W408" s="30"/>
    </row>
    <row r="409" spans="23:23" ht="12.75" x14ac:dyDescent="0.2">
      <c r="W409" s="30"/>
    </row>
    <row r="410" spans="23:23" ht="12.75" x14ac:dyDescent="0.2">
      <c r="W410" s="30"/>
    </row>
    <row r="411" spans="23:23" ht="12.75" x14ac:dyDescent="0.2">
      <c r="W411" s="30"/>
    </row>
    <row r="412" spans="23:23" ht="12.75" x14ac:dyDescent="0.2">
      <c r="W412" s="30"/>
    </row>
    <row r="413" spans="23:23" ht="12.75" x14ac:dyDescent="0.2">
      <c r="W413" s="30"/>
    </row>
    <row r="414" spans="23:23" ht="12.75" x14ac:dyDescent="0.2">
      <c r="W414" s="30"/>
    </row>
    <row r="415" spans="23:23" ht="12.75" x14ac:dyDescent="0.2">
      <c r="W415" s="30"/>
    </row>
    <row r="416" spans="23:23" ht="12.75" x14ac:dyDescent="0.2">
      <c r="W416" s="30"/>
    </row>
    <row r="417" spans="23:23" ht="12.75" x14ac:dyDescent="0.2">
      <c r="W417" s="30"/>
    </row>
    <row r="418" spans="23:23" ht="12.75" x14ac:dyDescent="0.2">
      <c r="W418" s="30"/>
    </row>
    <row r="419" spans="23:23" ht="12.75" x14ac:dyDescent="0.2">
      <c r="W419" s="30"/>
    </row>
    <row r="420" spans="23:23" ht="12.75" x14ac:dyDescent="0.2">
      <c r="W420" s="30"/>
    </row>
    <row r="421" spans="23:23" ht="12.75" x14ac:dyDescent="0.2">
      <c r="W421" s="30"/>
    </row>
    <row r="422" spans="23:23" ht="12.75" x14ac:dyDescent="0.2">
      <c r="W422" s="30"/>
    </row>
    <row r="423" spans="23:23" ht="12.75" x14ac:dyDescent="0.2">
      <c r="W423" s="30"/>
    </row>
    <row r="424" spans="23:23" ht="12.75" x14ac:dyDescent="0.2">
      <c r="W424" s="30"/>
    </row>
    <row r="425" spans="23:23" ht="12.75" x14ac:dyDescent="0.2">
      <c r="W425" s="30"/>
    </row>
    <row r="426" spans="23:23" ht="12.75" x14ac:dyDescent="0.2">
      <c r="W426" s="30"/>
    </row>
    <row r="427" spans="23:23" ht="12.75" x14ac:dyDescent="0.2">
      <c r="W427" s="30"/>
    </row>
    <row r="428" spans="23:23" ht="12.75" x14ac:dyDescent="0.2">
      <c r="W428" s="30"/>
    </row>
    <row r="429" spans="23:23" ht="12.75" x14ac:dyDescent="0.2">
      <c r="W429" s="30"/>
    </row>
    <row r="430" spans="23:23" ht="12.75" x14ac:dyDescent="0.2">
      <c r="W430" s="30"/>
    </row>
    <row r="431" spans="23:23" ht="12.75" x14ac:dyDescent="0.2">
      <c r="W431" s="30"/>
    </row>
    <row r="432" spans="23:23" ht="12.75" x14ac:dyDescent="0.2">
      <c r="W432" s="30"/>
    </row>
    <row r="433" spans="23:23" ht="12.75" x14ac:dyDescent="0.2">
      <c r="W433" s="30"/>
    </row>
    <row r="434" spans="23:23" ht="12.75" x14ac:dyDescent="0.2">
      <c r="W434" s="30"/>
    </row>
    <row r="435" spans="23:23" ht="12.75" x14ac:dyDescent="0.2">
      <c r="W435" s="30"/>
    </row>
    <row r="436" spans="23:23" ht="12.75" x14ac:dyDescent="0.2">
      <c r="W436" s="30"/>
    </row>
    <row r="437" spans="23:23" ht="12.75" x14ac:dyDescent="0.2">
      <c r="W437" s="30"/>
    </row>
    <row r="438" spans="23:23" ht="12.75" x14ac:dyDescent="0.2">
      <c r="W438" s="30"/>
    </row>
    <row r="439" spans="23:23" ht="12.75" x14ac:dyDescent="0.2">
      <c r="W439" s="30"/>
    </row>
    <row r="440" spans="23:23" ht="12.75" x14ac:dyDescent="0.2">
      <c r="W440" s="30"/>
    </row>
    <row r="441" spans="23:23" ht="12.75" x14ac:dyDescent="0.2">
      <c r="W441" s="30"/>
    </row>
    <row r="442" spans="23:23" ht="12.75" x14ac:dyDescent="0.2">
      <c r="W442" s="30"/>
    </row>
    <row r="443" spans="23:23" ht="12.75" x14ac:dyDescent="0.2">
      <c r="W443" s="30"/>
    </row>
    <row r="444" spans="23:23" ht="12.75" x14ac:dyDescent="0.2">
      <c r="W444" s="30"/>
    </row>
    <row r="445" spans="23:23" ht="12.75" x14ac:dyDescent="0.2">
      <c r="W445" s="30"/>
    </row>
    <row r="446" spans="23:23" ht="12.75" x14ac:dyDescent="0.2">
      <c r="W446" s="30"/>
    </row>
    <row r="447" spans="23:23" ht="12.75" x14ac:dyDescent="0.2">
      <c r="W447" s="30"/>
    </row>
    <row r="448" spans="23:23" ht="12.75" x14ac:dyDescent="0.2">
      <c r="W448" s="30"/>
    </row>
    <row r="449" spans="23:23" ht="12.75" x14ac:dyDescent="0.2">
      <c r="W449" s="30"/>
    </row>
    <row r="450" spans="23:23" ht="12.75" x14ac:dyDescent="0.2">
      <c r="W450" s="30"/>
    </row>
    <row r="451" spans="23:23" ht="12.75" x14ac:dyDescent="0.2">
      <c r="W451" s="30"/>
    </row>
    <row r="452" spans="23:23" ht="12.75" x14ac:dyDescent="0.2">
      <c r="W452" s="30"/>
    </row>
    <row r="453" spans="23:23" ht="12.75" x14ac:dyDescent="0.2">
      <c r="W453" s="30"/>
    </row>
    <row r="454" spans="23:23" ht="12.75" x14ac:dyDescent="0.2">
      <c r="W454" s="30"/>
    </row>
    <row r="455" spans="23:23" ht="12.75" x14ac:dyDescent="0.2">
      <c r="W455" s="30"/>
    </row>
    <row r="456" spans="23:23" ht="12.75" x14ac:dyDescent="0.2">
      <c r="W456" s="30"/>
    </row>
    <row r="457" spans="23:23" ht="12.75" x14ac:dyDescent="0.2">
      <c r="W457" s="30"/>
    </row>
    <row r="458" spans="23:23" ht="12.75" x14ac:dyDescent="0.2">
      <c r="W458" s="30"/>
    </row>
    <row r="459" spans="23:23" ht="12.75" x14ac:dyDescent="0.2">
      <c r="W459" s="30"/>
    </row>
    <row r="460" spans="23:23" ht="12.75" x14ac:dyDescent="0.2">
      <c r="W460" s="30"/>
    </row>
    <row r="461" spans="23:23" ht="12.75" x14ac:dyDescent="0.2">
      <c r="W461" s="30"/>
    </row>
    <row r="462" spans="23:23" ht="12.75" x14ac:dyDescent="0.2">
      <c r="W462" s="30"/>
    </row>
    <row r="463" spans="23:23" ht="12.75" x14ac:dyDescent="0.2">
      <c r="W463" s="30"/>
    </row>
    <row r="464" spans="23:23" ht="12.75" x14ac:dyDescent="0.2">
      <c r="W464" s="30"/>
    </row>
    <row r="465" spans="23:23" ht="12.75" x14ac:dyDescent="0.2">
      <c r="W465" s="30"/>
    </row>
    <row r="466" spans="23:23" ht="12.75" x14ac:dyDescent="0.2">
      <c r="W466" s="30"/>
    </row>
    <row r="467" spans="23:23" ht="12.75" x14ac:dyDescent="0.2">
      <c r="W467" s="30"/>
    </row>
    <row r="468" spans="23:23" ht="12.75" x14ac:dyDescent="0.2">
      <c r="W468" s="30"/>
    </row>
    <row r="469" spans="23:23" ht="12.75" x14ac:dyDescent="0.2">
      <c r="W469" s="30"/>
    </row>
    <row r="470" spans="23:23" ht="12.75" x14ac:dyDescent="0.2">
      <c r="W470" s="30"/>
    </row>
    <row r="471" spans="23:23" ht="12.75" x14ac:dyDescent="0.2">
      <c r="W471" s="30"/>
    </row>
    <row r="472" spans="23:23" ht="12.75" x14ac:dyDescent="0.2">
      <c r="W472" s="30"/>
    </row>
    <row r="473" spans="23:23" ht="12.75" x14ac:dyDescent="0.2">
      <c r="W473" s="30"/>
    </row>
    <row r="474" spans="23:23" ht="12.75" x14ac:dyDescent="0.2">
      <c r="W474" s="30"/>
    </row>
    <row r="475" spans="23:23" ht="12.75" x14ac:dyDescent="0.2">
      <c r="W475" s="30"/>
    </row>
    <row r="476" spans="23:23" ht="12.75" x14ac:dyDescent="0.2">
      <c r="W476" s="30"/>
    </row>
    <row r="477" spans="23:23" ht="12.75" x14ac:dyDescent="0.2">
      <c r="W477" s="30"/>
    </row>
    <row r="478" spans="23:23" ht="12.75" x14ac:dyDescent="0.2">
      <c r="W478" s="30"/>
    </row>
    <row r="479" spans="23:23" ht="12.75" x14ac:dyDescent="0.2">
      <c r="W479" s="30"/>
    </row>
    <row r="480" spans="23:23" ht="12.75" x14ac:dyDescent="0.2">
      <c r="W480" s="30"/>
    </row>
    <row r="481" spans="23:23" ht="12.75" x14ac:dyDescent="0.2">
      <c r="W481" s="30"/>
    </row>
    <row r="482" spans="23:23" ht="12.75" x14ac:dyDescent="0.2">
      <c r="W482" s="30"/>
    </row>
    <row r="483" spans="23:23" ht="12.75" x14ac:dyDescent="0.2">
      <c r="W483" s="30"/>
    </row>
    <row r="484" spans="23:23" ht="12.75" x14ac:dyDescent="0.2">
      <c r="W484" s="30"/>
    </row>
    <row r="485" spans="23:23" ht="12.75" x14ac:dyDescent="0.2">
      <c r="W485" s="30"/>
    </row>
    <row r="486" spans="23:23" ht="12.75" x14ac:dyDescent="0.2">
      <c r="W486" s="30"/>
    </row>
    <row r="487" spans="23:23" ht="12.75" x14ac:dyDescent="0.2">
      <c r="W487" s="30"/>
    </row>
    <row r="488" spans="23:23" ht="12.75" x14ac:dyDescent="0.2">
      <c r="W488" s="30"/>
    </row>
    <row r="489" spans="23:23" ht="12.75" x14ac:dyDescent="0.2">
      <c r="W489" s="30"/>
    </row>
    <row r="490" spans="23:23" ht="12.75" x14ac:dyDescent="0.2">
      <c r="W490" s="30"/>
    </row>
    <row r="491" spans="23:23" ht="12.75" x14ac:dyDescent="0.2">
      <c r="W491" s="30"/>
    </row>
    <row r="492" spans="23:23" ht="12.75" x14ac:dyDescent="0.2">
      <c r="W492" s="30"/>
    </row>
    <row r="493" spans="23:23" ht="12.75" x14ac:dyDescent="0.2">
      <c r="W493" s="30"/>
    </row>
    <row r="494" spans="23:23" ht="12.75" x14ac:dyDescent="0.2">
      <c r="W494" s="30"/>
    </row>
    <row r="495" spans="23:23" ht="12.75" x14ac:dyDescent="0.2">
      <c r="W495" s="30"/>
    </row>
    <row r="496" spans="23:23" ht="12.75" x14ac:dyDescent="0.2">
      <c r="W496" s="30"/>
    </row>
    <row r="497" spans="23:23" ht="12.75" x14ac:dyDescent="0.2">
      <c r="W497" s="30"/>
    </row>
    <row r="498" spans="23:23" ht="12.75" x14ac:dyDescent="0.2">
      <c r="W498" s="30"/>
    </row>
    <row r="499" spans="23:23" ht="12.75" x14ac:dyDescent="0.2">
      <c r="W499" s="30"/>
    </row>
    <row r="500" spans="23:23" ht="12.75" x14ac:dyDescent="0.2">
      <c r="W500" s="30"/>
    </row>
    <row r="501" spans="23:23" ht="12.75" x14ac:dyDescent="0.2">
      <c r="W501" s="30"/>
    </row>
    <row r="502" spans="23:23" ht="12.75" x14ac:dyDescent="0.2">
      <c r="W502" s="30"/>
    </row>
    <row r="503" spans="23:23" ht="12.75" x14ac:dyDescent="0.2">
      <c r="W503" s="30"/>
    </row>
    <row r="504" spans="23:23" ht="12.75" x14ac:dyDescent="0.2">
      <c r="W504" s="30"/>
    </row>
    <row r="505" spans="23:23" ht="12.75" x14ac:dyDescent="0.2">
      <c r="W505" s="30"/>
    </row>
    <row r="506" spans="23:23" ht="12.75" x14ac:dyDescent="0.2">
      <c r="W506" s="30"/>
    </row>
    <row r="507" spans="23:23" ht="12.75" x14ac:dyDescent="0.2">
      <c r="W507" s="30"/>
    </row>
    <row r="508" spans="23:23" ht="12.75" x14ac:dyDescent="0.2">
      <c r="W508" s="30"/>
    </row>
    <row r="509" spans="23:23" ht="12.75" x14ac:dyDescent="0.2">
      <c r="W509" s="30"/>
    </row>
    <row r="510" spans="23:23" ht="12.75" x14ac:dyDescent="0.2">
      <c r="W510" s="30"/>
    </row>
    <row r="511" spans="23:23" ht="12.75" x14ac:dyDescent="0.2">
      <c r="W511" s="30"/>
    </row>
    <row r="512" spans="23:23" ht="12.75" x14ac:dyDescent="0.2">
      <c r="W512" s="30"/>
    </row>
    <row r="513" spans="23:23" ht="12.75" x14ac:dyDescent="0.2">
      <c r="W513" s="30"/>
    </row>
    <row r="514" spans="23:23" ht="12.75" x14ac:dyDescent="0.2">
      <c r="W514" s="30"/>
    </row>
    <row r="515" spans="23:23" ht="12.75" x14ac:dyDescent="0.2">
      <c r="W515" s="30"/>
    </row>
    <row r="516" spans="23:23" ht="12.75" x14ac:dyDescent="0.2">
      <c r="W516" s="30"/>
    </row>
    <row r="517" spans="23:23" ht="12.75" x14ac:dyDescent="0.2">
      <c r="W517" s="30"/>
    </row>
    <row r="518" spans="23:23" ht="12.75" x14ac:dyDescent="0.2">
      <c r="W518" s="30"/>
    </row>
    <row r="519" spans="23:23" ht="12.75" x14ac:dyDescent="0.2">
      <c r="W519" s="30"/>
    </row>
    <row r="520" spans="23:23" ht="12.75" x14ac:dyDescent="0.2">
      <c r="W520" s="30"/>
    </row>
    <row r="521" spans="23:23" ht="12.75" x14ac:dyDescent="0.2">
      <c r="W521" s="30"/>
    </row>
    <row r="522" spans="23:23" ht="12.75" x14ac:dyDescent="0.2">
      <c r="W522" s="30"/>
    </row>
    <row r="523" spans="23:23" ht="12.75" x14ac:dyDescent="0.2">
      <c r="W523" s="30"/>
    </row>
    <row r="524" spans="23:23" ht="12.75" x14ac:dyDescent="0.2">
      <c r="W524" s="30"/>
    </row>
    <row r="525" spans="23:23" ht="12.75" x14ac:dyDescent="0.2">
      <c r="W525" s="30"/>
    </row>
    <row r="526" spans="23:23" ht="12.75" x14ac:dyDescent="0.2">
      <c r="W526" s="30"/>
    </row>
    <row r="527" spans="23:23" ht="12.75" x14ac:dyDescent="0.2">
      <c r="W527" s="30"/>
    </row>
    <row r="528" spans="23:23" ht="12.75" x14ac:dyDescent="0.2">
      <c r="W528" s="30"/>
    </row>
    <row r="529" spans="23:23" ht="12.75" x14ac:dyDescent="0.2">
      <c r="W529" s="30"/>
    </row>
    <row r="530" spans="23:23" ht="12.75" x14ac:dyDescent="0.2">
      <c r="W530" s="30"/>
    </row>
    <row r="531" spans="23:23" ht="12.75" x14ac:dyDescent="0.2">
      <c r="W531" s="30"/>
    </row>
    <row r="532" spans="23:23" ht="12.75" x14ac:dyDescent="0.2">
      <c r="W532" s="30"/>
    </row>
    <row r="533" spans="23:23" ht="12.75" x14ac:dyDescent="0.2">
      <c r="W533" s="30"/>
    </row>
    <row r="534" spans="23:23" ht="12.75" x14ac:dyDescent="0.2">
      <c r="W534" s="30"/>
    </row>
    <row r="535" spans="23:23" ht="12.75" x14ac:dyDescent="0.2">
      <c r="W535" s="30"/>
    </row>
    <row r="536" spans="23:23" ht="12.75" x14ac:dyDescent="0.2">
      <c r="W536" s="30"/>
    </row>
    <row r="537" spans="23:23" ht="12.75" x14ac:dyDescent="0.2">
      <c r="W537" s="30"/>
    </row>
    <row r="538" spans="23:23" ht="12.75" x14ac:dyDescent="0.2">
      <c r="W538" s="30"/>
    </row>
    <row r="539" spans="23:23" ht="12.75" x14ac:dyDescent="0.2">
      <c r="W539" s="30"/>
    </row>
    <row r="540" spans="23:23" ht="12.75" x14ac:dyDescent="0.2">
      <c r="W540" s="30"/>
    </row>
    <row r="541" spans="23:23" ht="12.75" x14ac:dyDescent="0.2">
      <c r="W541" s="30"/>
    </row>
    <row r="542" spans="23:23" ht="12.75" x14ac:dyDescent="0.2">
      <c r="W542" s="30"/>
    </row>
    <row r="543" spans="23:23" ht="12.75" x14ac:dyDescent="0.2">
      <c r="W543" s="30"/>
    </row>
    <row r="544" spans="23:23" ht="12.75" x14ac:dyDescent="0.2">
      <c r="W544" s="30"/>
    </row>
    <row r="545" spans="23:23" ht="12.75" x14ac:dyDescent="0.2">
      <c r="W545" s="30"/>
    </row>
    <row r="546" spans="23:23" ht="12.75" x14ac:dyDescent="0.2">
      <c r="W546" s="30"/>
    </row>
    <row r="547" spans="23:23" ht="12.75" x14ac:dyDescent="0.2">
      <c r="W547" s="30"/>
    </row>
    <row r="548" spans="23:23" ht="12.75" x14ac:dyDescent="0.2">
      <c r="W548" s="30"/>
    </row>
    <row r="549" spans="23:23" ht="12.75" x14ac:dyDescent="0.2">
      <c r="W549" s="30"/>
    </row>
    <row r="550" spans="23:23" ht="12.75" x14ac:dyDescent="0.2">
      <c r="W550" s="30"/>
    </row>
    <row r="551" spans="23:23" ht="12.75" x14ac:dyDescent="0.2">
      <c r="W551" s="30"/>
    </row>
    <row r="552" spans="23:23" ht="12.75" x14ac:dyDescent="0.2">
      <c r="W552" s="30"/>
    </row>
    <row r="553" spans="23:23" ht="12.75" x14ac:dyDescent="0.2">
      <c r="W553" s="30"/>
    </row>
    <row r="554" spans="23:23" ht="12.75" x14ac:dyDescent="0.2">
      <c r="W554" s="30"/>
    </row>
    <row r="555" spans="23:23" ht="12.75" x14ac:dyDescent="0.2">
      <c r="W555" s="30"/>
    </row>
    <row r="556" spans="23:23" ht="12.75" x14ac:dyDescent="0.2">
      <c r="W556" s="30"/>
    </row>
    <row r="557" spans="23:23" ht="12.75" x14ac:dyDescent="0.2">
      <c r="W557" s="30"/>
    </row>
    <row r="558" spans="23:23" ht="12.75" x14ac:dyDescent="0.2">
      <c r="W558" s="30"/>
    </row>
    <row r="559" spans="23:23" ht="12.75" x14ac:dyDescent="0.2">
      <c r="W559" s="30"/>
    </row>
    <row r="560" spans="23:23" ht="12.75" x14ac:dyDescent="0.2">
      <c r="W560" s="30"/>
    </row>
    <row r="561" spans="23:23" ht="12.75" x14ac:dyDescent="0.2">
      <c r="W561" s="30"/>
    </row>
    <row r="562" spans="23:23" ht="12.75" x14ac:dyDescent="0.2">
      <c r="W562" s="30"/>
    </row>
    <row r="563" spans="23:23" ht="12.75" x14ac:dyDescent="0.2">
      <c r="W563" s="30"/>
    </row>
    <row r="564" spans="23:23" ht="12.75" x14ac:dyDescent="0.2">
      <c r="W564" s="30"/>
    </row>
    <row r="565" spans="23:23" ht="12.75" x14ac:dyDescent="0.2">
      <c r="W565" s="30"/>
    </row>
    <row r="566" spans="23:23" ht="12.75" x14ac:dyDescent="0.2">
      <c r="W566" s="30"/>
    </row>
    <row r="567" spans="23:23" ht="12.75" x14ac:dyDescent="0.2">
      <c r="W567" s="30"/>
    </row>
    <row r="568" spans="23:23" ht="12.75" x14ac:dyDescent="0.2">
      <c r="W568" s="30"/>
    </row>
    <row r="569" spans="23:23" ht="12.75" x14ac:dyDescent="0.2">
      <c r="W569" s="30"/>
    </row>
    <row r="570" spans="23:23" ht="12.75" x14ac:dyDescent="0.2">
      <c r="W570" s="30"/>
    </row>
    <row r="571" spans="23:23" ht="12.75" x14ac:dyDescent="0.2">
      <c r="W571" s="30"/>
    </row>
    <row r="572" spans="23:23" ht="12.75" x14ac:dyDescent="0.2">
      <c r="W572" s="30"/>
    </row>
    <row r="573" spans="23:23" ht="12.75" x14ac:dyDescent="0.2">
      <c r="W573" s="30"/>
    </row>
    <row r="574" spans="23:23" ht="12.75" x14ac:dyDescent="0.2">
      <c r="W574" s="30"/>
    </row>
    <row r="575" spans="23:23" ht="12.75" x14ac:dyDescent="0.2">
      <c r="W575" s="30"/>
    </row>
    <row r="576" spans="23:23" ht="12.75" x14ac:dyDescent="0.2">
      <c r="W576" s="30"/>
    </row>
    <row r="577" spans="23:23" ht="12.75" x14ac:dyDescent="0.2">
      <c r="W577" s="30"/>
    </row>
    <row r="578" spans="23:23" ht="12.75" x14ac:dyDescent="0.2">
      <c r="W578" s="30"/>
    </row>
    <row r="579" spans="23:23" ht="12.75" x14ac:dyDescent="0.2">
      <c r="W579" s="30"/>
    </row>
    <row r="580" spans="23:23" ht="12.75" x14ac:dyDescent="0.2">
      <c r="W580" s="30"/>
    </row>
    <row r="581" spans="23:23" ht="12.75" x14ac:dyDescent="0.2">
      <c r="W581" s="30"/>
    </row>
    <row r="582" spans="23:23" ht="12.75" x14ac:dyDescent="0.2">
      <c r="W582" s="30"/>
    </row>
    <row r="583" spans="23:23" ht="12.75" x14ac:dyDescent="0.2">
      <c r="W583" s="30"/>
    </row>
    <row r="584" spans="23:23" ht="12.75" x14ac:dyDescent="0.2">
      <c r="W584" s="30"/>
    </row>
    <row r="585" spans="23:23" ht="12.75" x14ac:dyDescent="0.2">
      <c r="W585" s="30"/>
    </row>
    <row r="586" spans="23:23" ht="12.75" x14ac:dyDescent="0.2">
      <c r="W586" s="30"/>
    </row>
    <row r="587" spans="23:23" ht="12.75" x14ac:dyDescent="0.2">
      <c r="W587" s="30"/>
    </row>
    <row r="588" spans="23:23" ht="12.75" x14ac:dyDescent="0.2">
      <c r="W588" s="30"/>
    </row>
    <row r="589" spans="23:23" ht="12.75" x14ac:dyDescent="0.2">
      <c r="W589" s="30"/>
    </row>
    <row r="590" spans="23:23" ht="12.75" x14ac:dyDescent="0.2">
      <c r="W590" s="30"/>
    </row>
    <row r="591" spans="23:23" ht="12.75" x14ac:dyDescent="0.2">
      <c r="W591" s="30"/>
    </row>
    <row r="592" spans="23:23" ht="12.75" x14ac:dyDescent="0.2">
      <c r="W592" s="30"/>
    </row>
    <row r="593" spans="23:23" ht="12.75" x14ac:dyDescent="0.2">
      <c r="W593" s="30"/>
    </row>
    <row r="594" spans="23:23" ht="12.75" x14ac:dyDescent="0.2">
      <c r="W594" s="30"/>
    </row>
    <row r="595" spans="23:23" ht="12.75" x14ac:dyDescent="0.2">
      <c r="W595" s="30"/>
    </row>
    <row r="596" spans="23:23" ht="12.75" x14ac:dyDescent="0.2">
      <c r="W596" s="30"/>
    </row>
    <row r="597" spans="23:23" ht="12.75" x14ac:dyDescent="0.2">
      <c r="W597" s="30"/>
    </row>
    <row r="598" spans="23:23" ht="12.75" x14ac:dyDescent="0.2">
      <c r="W598" s="30"/>
    </row>
    <row r="599" spans="23:23" ht="12.75" x14ac:dyDescent="0.2">
      <c r="W599" s="30"/>
    </row>
    <row r="600" spans="23:23" ht="12.75" x14ac:dyDescent="0.2">
      <c r="W600" s="30"/>
    </row>
    <row r="601" spans="23:23" ht="12.75" x14ac:dyDescent="0.2">
      <c r="W601" s="30"/>
    </row>
    <row r="602" spans="23:23" ht="12.75" x14ac:dyDescent="0.2">
      <c r="W602" s="30"/>
    </row>
    <row r="603" spans="23:23" ht="12.75" x14ac:dyDescent="0.2">
      <c r="W603" s="30"/>
    </row>
    <row r="604" spans="23:23" ht="12.75" x14ac:dyDescent="0.2">
      <c r="W604" s="30"/>
    </row>
    <row r="605" spans="23:23" ht="12.75" x14ac:dyDescent="0.2">
      <c r="W605" s="30"/>
    </row>
    <row r="606" spans="23:23" ht="12.75" x14ac:dyDescent="0.2">
      <c r="W606" s="30"/>
    </row>
    <row r="607" spans="23:23" ht="12.75" x14ac:dyDescent="0.2">
      <c r="W607" s="30"/>
    </row>
    <row r="608" spans="23:23" ht="12.75" x14ac:dyDescent="0.2">
      <c r="W608" s="30"/>
    </row>
    <row r="609" spans="23:23" ht="12.75" x14ac:dyDescent="0.2">
      <c r="W609" s="30"/>
    </row>
    <row r="610" spans="23:23" ht="12.75" x14ac:dyDescent="0.2">
      <c r="W610" s="30"/>
    </row>
    <row r="611" spans="23:23" ht="12.75" x14ac:dyDescent="0.2">
      <c r="W611" s="30"/>
    </row>
    <row r="612" spans="23:23" ht="12.75" x14ac:dyDescent="0.2">
      <c r="W612" s="30"/>
    </row>
    <row r="613" spans="23:23" ht="12.75" x14ac:dyDescent="0.2">
      <c r="W613" s="30"/>
    </row>
    <row r="614" spans="23:23" ht="12.75" x14ac:dyDescent="0.2">
      <c r="W614" s="30"/>
    </row>
    <row r="615" spans="23:23" ht="12.75" x14ac:dyDescent="0.2">
      <c r="W615" s="30"/>
    </row>
    <row r="616" spans="23:23" ht="12.75" x14ac:dyDescent="0.2">
      <c r="W616" s="30"/>
    </row>
    <row r="617" spans="23:23" ht="12.75" x14ac:dyDescent="0.2">
      <c r="W617" s="30"/>
    </row>
    <row r="618" spans="23:23" ht="12.75" x14ac:dyDescent="0.2">
      <c r="W618" s="30"/>
    </row>
    <row r="619" spans="23:23" ht="12.75" x14ac:dyDescent="0.2">
      <c r="W619" s="30"/>
    </row>
    <row r="620" spans="23:23" ht="12.75" x14ac:dyDescent="0.2">
      <c r="W620" s="30"/>
    </row>
    <row r="621" spans="23:23" ht="12.75" x14ac:dyDescent="0.2">
      <c r="W621" s="30"/>
    </row>
    <row r="622" spans="23:23" ht="12.75" x14ac:dyDescent="0.2">
      <c r="W622" s="30"/>
    </row>
    <row r="623" spans="23:23" ht="12.75" x14ac:dyDescent="0.2">
      <c r="W623" s="30"/>
    </row>
    <row r="624" spans="23:23" ht="12.75" x14ac:dyDescent="0.2">
      <c r="W624" s="30"/>
    </row>
    <row r="625" spans="23:23" ht="12.75" x14ac:dyDescent="0.2">
      <c r="W625" s="30"/>
    </row>
    <row r="626" spans="23:23" ht="12.75" x14ac:dyDescent="0.2">
      <c r="W626" s="30"/>
    </row>
    <row r="627" spans="23:23" ht="12.75" x14ac:dyDescent="0.2">
      <c r="W627" s="30"/>
    </row>
    <row r="628" spans="23:23" ht="12.75" x14ac:dyDescent="0.2">
      <c r="W628" s="30"/>
    </row>
    <row r="629" spans="23:23" ht="12.75" x14ac:dyDescent="0.2">
      <c r="W629" s="30"/>
    </row>
    <row r="630" spans="23:23" ht="12.75" x14ac:dyDescent="0.2">
      <c r="W630" s="30"/>
    </row>
    <row r="631" spans="23:23" ht="12.75" x14ac:dyDescent="0.2">
      <c r="W631" s="30"/>
    </row>
    <row r="632" spans="23:23" ht="12.75" x14ac:dyDescent="0.2">
      <c r="W632" s="30"/>
    </row>
    <row r="633" spans="23:23" ht="12.75" x14ac:dyDescent="0.2">
      <c r="W633" s="30"/>
    </row>
    <row r="634" spans="23:23" ht="12.75" x14ac:dyDescent="0.2">
      <c r="W634" s="30"/>
    </row>
    <row r="635" spans="23:23" ht="12.75" x14ac:dyDescent="0.2">
      <c r="W635" s="30"/>
    </row>
    <row r="636" spans="23:23" ht="12.75" x14ac:dyDescent="0.2">
      <c r="W636" s="30"/>
    </row>
    <row r="637" spans="23:23" ht="12.75" x14ac:dyDescent="0.2">
      <c r="W637" s="30"/>
    </row>
    <row r="638" spans="23:23" ht="12.75" x14ac:dyDescent="0.2">
      <c r="W638" s="30"/>
    </row>
    <row r="639" spans="23:23" ht="12.75" x14ac:dyDescent="0.2">
      <c r="W639" s="30"/>
    </row>
    <row r="640" spans="23:23" ht="12.75" x14ac:dyDescent="0.2">
      <c r="W640" s="30"/>
    </row>
    <row r="641" spans="23:23" ht="12.75" x14ac:dyDescent="0.2">
      <c r="W641" s="30"/>
    </row>
    <row r="642" spans="23:23" ht="12.75" x14ac:dyDescent="0.2">
      <c r="W642" s="30"/>
    </row>
    <row r="643" spans="23:23" ht="12.75" x14ac:dyDescent="0.2">
      <c r="W643" s="30"/>
    </row>
    <row r="644" spans="23:23" ht="12.75" x14ac:dyDescent="0.2">
      <c r="W644" s="30"/>
    </row>
    <row r="645" spans="23:23" ht="12.75" x14ac:dyDescent="0.2">
      <c r="W645" s="30"/>
    </row>
    <row r="646" spans="23:23" ht="12.75" x14ac:dyDescent="0.2">
      <c r="W646" s="30"/>
    </row>
    <row r="647" spans="23:23" ht="12.75" x14ac:dyDescent="0.2">
      <c r="W647" s="30"/>
    </row>
    <row r="648" spans="23:23" ht="12.75" x14ac:dyDescent="0.2">
      <c r="W648" s="30"/>
    </row>
    <row r="649" spans="23:23" ht="12.75" x14ac:dyDescent="0.2">
      <c r="W649" s="30"/>
    </row>
    <row r="650" spans="23:23" ht="12.75" x14ac:dyDescent="0.2">
      <c r="W650" s="30"/>
    </row>
    <row r="651" spans="23:23" ht="12.75" x14ac:dyDescent="0.2">
      <c r="W651" s="30"/>
    </row>
    <row r="652" spans="23:23" ht="12.75" x14ac:dyDescent="0.2">
      <c r="W652" s="30"/>
    </row>
    <row r="653" spans="23:23" ht="12.75" x14ac:dyDescent="0.2">
      <c r="W653" s="30"/>
    </row>
    <row r="654" spans="23:23" ht="12.75" x14ac:dyDescent="0.2">
      <c r="W654" s="30"/>
    </row>
    <row r="655" spans="23:23" ht="12.75" x14ac:dyDescent="0.2">
      <c r="W655" s="30"/>
    </row>
    <row r="656" spans="23:23" ht="12.75" x14ac:dyDescent="0.2">
      <c r="W656" s="30"/>
    </row>
    <row r="657" spans="23:23" ht="12.75" x14ac:dyDescent="0.2">
      <c r="W657" s="30"/>
    </row>
    <row r="658" spans="23:23" ht="12.75" x14ac:dyDescent="0.2">
      <c r="W658" s="30"/>
    </row>
    <row r="659" spans="23:23" ht="12.75" x14ac:dyDescent="0.2">
      <c r="W659" s="30"/>
    </row>
    <row r="660" spans="23:23" ht="12.75" x14ac:dyDescent="0.2">
      <c r="W660" s="30"/>
    </row>
    <row r="661" spans="23:23" ht="12.75" x14ac:dyDescent="0.2">
      <c r="W661" s="30"/>
    </row>
    <row r="662" spans="23:23" ht="12.75" x14ac:dyDescent="0.2">
      <c r="W662" s="30"/>
    </row>
    <row r="663" spans="23:23" ht="12.75" x14ac:dyDescent="0.2">
      <c r="W663" s="30"/>
    </row>
    <row r="664" spans="23:23" ht="12.75" x14ac:dyDescent="0.2">
      <c r="W664" s="30"/>
    </row>
    <row r="665" spans="23:23" ht="12.75" x14ac:dyDescent="0.2">
      <c r="W665" s="30"/>
    </row>
    <row r="666" spans="23:23" ht="12.75" x14ac:dyDescent="0.2">
      <c r="W666" s="30"/>
    </row>
    <row r="667" spans="23:23" ht="12.75" x14ac:dyDescent="0.2">
      <c r="W667" s="30"/>
    </row>
    <row r="668" spans="23:23" ht="12.75" x14ac:dyDescent="0.2">
      <c r="W668" s="30"/>
    </row>
    <row r="669" spans="23:23" ht="12.75" x14ac:dyDescent="0.2">
      <c r="W669" s="30"/>
    </row>
    <row r="670" spans="23:23" ht="12.75" x14ac:dyDescent="0.2">
      <c r="W670" s="30"/>
    </row>
    <row r="671" spans="23:23" ht="12.75" x14ac:dyDescent="0.2">
      <c r="W671" s="30"/>
    </row>
    <row r="672" spans="23:23" ht="12.75" x14ac:dyDescent="0.2">
      <c r="W672" s="30"/>
    </row>
    <row r="673" spans="23:23" ht="12.75" x14ac:dyDescent="0.2">
      <c r="W673" s="30"/>
    </row>
    <row r="674" spans="23:23" ht="12.75" x14ac:dyDescent="0.2">
      <c r="W674" s="30"/>
    </row>
    <row r="675" spans="23:23" ht="12.75" x14ac:dyDescent="0.2">
      <c r="W675" s="30"/>
    </row>
    <row r="676" spans="23:23" ht="12.75" x14ac:dyDescent="0.2">
      <c r="W676" s="30"/>
    </row>
    <row r="677" spans="23:23" ht="12.75" x14ac:dyDescent="0.2">
      <c r="W677" s="30"/>
    </row>
    <row r="678" spans="23:23" ht="12.75" x14ac:dyDescent="0.2">
      <c r="W678" s="30"/>
    </row>
    <row r="679" spans="23:23" ht="12.75" x14ac:dyDescent="0.2">
      <c r="W679" s="30"/>
    </row>
    <row r="680" spans="23:23" ht="12.75" x14ac:dyDescent="0.2">
      <c r="W680" s="30"/>
    </row>
    <row r="681" spans="23:23" ht="12.75" x14ac:dyDescent="0.2">
      <c r="W681" s="30"/>
    </row>
    <row r="682" spans="23:23" ht="12.75" x14ac:dyDescent="0.2">
      <c r="W682" s="30"/>
    </row>
    <row r="683" spans="23:23" ht="12.75" x14ac:dyDescent="0.2">
      <c r="W683" s="30"/>
    </row>
    <row r="684" spans="23:23" ht="12.75" x14ac:dyDescent="0.2">
      <c r="W684" s="30"/>
    </row>
    <row r="685" spans="23:23" ht="12.75" x14ac:dyDescent="0.2">
      <c r="W685" s="30"/>
    </row>
    <row r="686" spans="23:23" ht="12.75" x14ac:dyDescent="0.2">
      <c r="W686" s="30"/>
    </row>
    <row r="687" spans="23:23" ht="12.75" x14ac:dyDescent="0.2">
      <c r="W687" s="30"/>
    </row>
    <row r="688" spans="23:23" ht="12.75" x14ac:dyDescent="0.2">
      <c r="W688" s="30"/>
    </row>
    <row r="689" spans="23:23" ht="12.75" x14ac:dyDescent="0.2">
      <c r="W689" s="30"/>
    </row>
    <row r="690" spans="23:23" ht="12.75" x14ac:dyDescent="0.2">
      <c r="W690" s="30"/>
    </row>
    <row r="691" spans="23:23" ht="12.75" x14ac:dyDescent="0.2">
      <c r="W691" s="30"/>
    </row>
    <row r="692" spans="23:23" ht="12.75" x14ac:dyDescent="0.2">
      <c r="W692" s="30"/>
    </row>
    <row r="693" spans="23:23" ht="12.75" x14ac:dyDescent="0.2">
      <c r="W693" s="30"/>
    </row>
    <row r="694" spans="23:23" ht="12.75" x14ac:dyDescent="0.2">
      <c r="W694" s="30"/>
    </row>
    <row r="695" spans="23:23" ht="12.75" x14ac:dyDescent="0.2">
      <c r="W695" s="30"/>
    </row>
    <row r="696" spans="23:23" ht="12.75" x14ac:dyDescent="0.2">
      <c r="W696" s="30"/>
    </row>
    <row r="697" spans="23:23" ht="12.75" x14ac:dyDescent="0.2">
      <c r="W697" s="30"/>
    </row>
    <row r="698" spans="23:23" ht="12.75" x14ac:dyDescent="0.2">
      <c r="W698" s="30"/>
    </row>
    <row r="699" spans="23:23" ht="12.75" x14ac:dyDescent="0.2">
      <c r="W699" s="30"/>
    </row>
    <row r="700" spans="23:23" ht="12.75" x14ac:dyDescent="0.2">
      <c r="W700" s="30"/>
    </row>
    <row r="701" spans="23:23" ht="12.75" x14ac:dyDescent="0.2">
      <c r="W701" s="30"/>
    </row>
    <row r="702" spans="23:23" ht="12.75" x14ac:dyDescent="0.2">
      <c r="W702" s="30"/>
    </row>
    <row r="703" spans="23:23" ht="12.75" x14ac:dyDescent="0.2">
      <c r="W703" s="30"/>
    </row>
    <row r="704" spans="23:23" ht="12.75" x14ac:dyDescent="0.2">
      <c r="W704" s="30"/>
    </row>
    <row r="705" spans="23:23" ht="12.75" x14ac:dyDescent="0.2">
      <c r="W705" s="30"/>
    </row>
    <row r="706" spans="23:23" ht="12.75" x14ac:dyDescent="0.2">
      <c r="W706" s="30"/>
    </row>
    <row r="707" spans="23:23" ht="12.75" x14ac:dyDescent="0.2">
      <c r="W707" s="30"/>
    </row>
    <row r="708" spans="23:23" ht="12.75" x14ac:dyDescent="0.2">
      <c r="W708" s="30"/>
    </row>
    <row r="709" spans="23:23" ht="12.75" x14ac:dyDescent="0.2">
      <c r="W709" s="30"/>
    </row>
    <row r="710" spans="23:23" ht="12.75" x14ac:dyDescent="0.2">
      <c r="W710" s="30"/>
    </row>
    <row r="711" spans="23:23" ht="12.75" x14ac:dyDescent="0.2">
      <c r="W711" s="30"/>
    </row>
    <row r="712" spans="23:23" ht="12.75" x14ac:dyDescent="0.2">
      <c r="W712" s="30"/>
    </row>
    <row r="713" spans="23:23" ht="12.75" x14ac:dyDescent="0.2">
      <c r="W713" s="30"/>
    </row>
    <row r="714" spans="23:23" ht="12.75" x14ac:dyDescent="0.2">
      <c r="W714" s="30"/>
    </row>
    <row r="715" spans="23:23" ht="12.75" x14ac:dyDescent="0.2">
      <c r="W715" s="30"/>
    </row>
    <row r="716" spans="23:23" ht="12.75" x14ac:dyDescent="0.2">
      <c r="W716" s="30"/>
    </row>
    <row r="717" spans="23:23" ht="12.75" x14ac:dyDescent="0.2">
      <c r="W717" s="30"/>
    </row>
    <row r="718" spans="23:23" ht="12.75" x14ac:dyDescent="0.2">
      <c r="W718" s="30"/>
    </row>
    <row r="719" spans="23:23" ht="12.75" x14ac:dyDescent="0.2">
      <c r="W719" s="30"/>
    </row>
    <row r="720" spans="23:23" ht="12.75" x14ac:dyDescent="0.2">
      <c r="W720" s="30"/>
    </row>
    <row r="721" spans="23:23" ht="12.75" x14ac:dyDescent="0.2">
      <c r="W721" s="30"/>
    </row>
    <row r="722" spans="23:23" ht="12.75" x14ac:dyDescent="0.2">
      <c r="W722" s="30"/>
    </row>
    <row r="723" spans="23:23" ht="12.75" x14ac:dyDescent="0.2">
      <c r="W723" s="30"/>
    </row>
    <row r="724" spans="23:23" ht="12.75" x14ac:dyDescent="0.2">
      <c r="W724" s="30"/>
    </row>
    <row r="725" spans="23:23" ht="12.75" x14ac:dyDescent="0.2">
      <c r="W725" s="30"/>
    </row>
    <row r="726" spans="23:23" ht="12.75" x14ac:dyDescent="0.2">
      <c r="W726" s="30"/>
    </row>
    <row r="727" spans="23:23" ht="12.75" x14ac:dyDescent="0.2">
      <c r="W727" s="30"/>
    </row>
    <row r="728" spans="23:23" ht="12.75" x14ac:dyDescent="0.2">
      <c r="W728" s="30"/>
    </row>
    <row r="729" spans="23:23" ht="12.75" x14ac:dyDescent="0.2">
      <c r="W729" s="30"/>
    </row>
    <row r="730" spans="23:23" ht="12.75" x14ac:dyDescent="0.2">
      <c r="W730" s="30"/>
    </row>
    <row r="731" spans="23:23" ht="12.75" x14ac:dyDescent="0.2">
      <c r="W731" s="30"/>
    </row>
    <row r="732" spans="23:23" ht="12.75" x14ac:dyDescent="0.2">
      <c r="W732" s="30"/>
    </row>
    <row r="733" spans="23:23" ht="12.75" x14ac:dyDescent="0.2">
      <c r="W733" s="30"/>
    </row>
    <row r="734" spans="23:23" ht="12.75" x14ac:dyDescent="0.2">
      <c r="W734" s="30"/>
    </row>
    <row r="735" spans="23:23" ht="12.75" x14ac:dyDescent="0.2">
      <c r="W735" s="30"/>
    </row>
    <row r="736" spans="23:23" ht="12.75" x14ac:dyDescent="0.2">
      <c r="W736" s="30"/>
    </row>
    <row r="737" spans="23:23" ht="12.75" x14ac:dyDescent="0.2">
      <c r="W737" s="30"/>
    </row>
    <row r="738" spans="23:23" ht="12.75" x14ac:dyDescent="0.2">
      <c r="W738" s="30"/>
    </row>
    <row r="739" spans="23:23" ht="12.75" x14ac:dyDescent="0.2">
      <c r="W739" s="30"/>
    </row>
    <row r="740" spans="23:23" ht="12.75" x14ac:dyDescent="0.2">
      <c r="W740" s="30"/>
    </row>
    <row r="741" spans="23:23" ht="12.75" x14ac:dyDescent="0.2">
      <c r="W741" s="30"/>
    </row>
    <row r="742" spans="23:23" ht="12.75" x14ac:dyDescent="0.2">
      <c r="W742" s="30"/>
    </row>
    <row r="743" spans="23:23" ht="12.75" x14ac:dyDescent="0.2">
      <c r="W743" s="30"/>
    </row>
    <row r="744" spans="23:23" ht="12.75" x14ac:dyDescent="0.2">
      <c r="W744" s="30"/>
    </row>
    <row r="745" spans="23:23" ht="12.75" x14ac:dyDescent="0.2">
      <c r="W745" s="30"/>
    </row>
    <row r="746" spans="23:23" ht="12.75" x14ac:dyDescent="0.2">
      <c r="W746" s="30"/>
    </row>
    <row r="747" spans="23:23" ht="12.75" x14ac:dyDescent="0.2">
      <c r="W747" s="30"/>
    </row>
    <row r="748" spans="23:23" ht="12.75" x14ac:dyDescent="0.2">
      <c r="W748" s="30"/>
    </row>
    <row r="749" spans="23:23" ht="12.75" x14ac:dyDescent="0.2">
      <c r="W749" s="30"/>
    </row>
    <row r="750" spans="23:23" ht="12.75" x14ac:dyDescent="0.2">
      <c r="W750" s="30"/>
    </row>
    <row r="751" spans="23:23" ht="12.75" x14ac:dyDescent="0.2">
      <c r="W751" s="30"/>
    </row>
    <row r="752" spans="23:23" ht="12.75" x14ac:dyDescent="0.2">
      <c r="W752" s="30"/>
    </row>
    <row r="753" spans="23:23" ht="12.75" x14ac:dyDescent="0.2">
      <c r="W753" s="30"/>
    </row>
    <row r="754" spans="23:23" ht="12.75" x14ac:dyDescent="0.2">
      <c r="W754" s="30"/>
    </row>
    <row r="755" spans="23:23" ht="12.75" x14ac:dyDescent="0.2">
      <c r="W755" s="30"/>
    </row>
    <row r="756" spans="23:23" ht="12.75" x14ac:dyDescent="0.2">
      <c r="W756" s="30"/>
    </row>
    <row r="757" spans="23:23" ht="12.75" x14ac:dyDescent="0.2">
      <c r="W757" s="30"/>
    </row>
    <row r="758" spans="23:23" ht="12.75" x14ac:dyDescent="0.2">
      <c r="W758" s="30"/>
    </row>
    <row r="759" spans="23:23" ht="12.75" x14ac:dyDescent="0.2">
      <c r="W759" s="30"/>
    </row>
    <row r="760" spans="23:23" ht="12.75" x14ac:dyDescent="0.2">
      <c r="W760" s="30"/>
    </row>
    <row r="761" spans="23:23" ht="12.75" x14ac:dyDescent="0.2">
      <c r="W761" s="30"/>
    </row>
    <row r="762" spans="23:23" ht="12.75" x14ac:dyDescent="0.2">
      <c r="W762" s="30"/>
    </row>
    <row r="763" spans="23:23" ht="12.75" x14ac:dyDescent="0.2">
      <c r="W763" s="30"/>
    </row>
    <row r="764" spans="23:23" ht="12.75" x14ac:dyDescent="0.2">
      <c r="W764" s="30"/>
    </row>
    <row r="765" spans="23:23" ht="12.75" x14ac:dyDescent="0.2">
      <c r="W765" s="30"/>
    </row>
    <row r="766" spans="23:23" ht="12.75" x14ac:dyDescent="0.2">
      <c r="W766" s="30"/>
    </row>
    <row r="767" spans="23:23" ht="12.75" x14ac:dyDescent="0.2">
      <c r="W767" s="30"/>
    </row>
    <row r="768" spans="23:23" ht="12.75" x14ac:dyDescent="0.2">
      <c r="W768" s="30"/>
    </row>
    <row r="769" spans="23:23" ht="12.75" x14ac:dyDescent="0.2">
      <c r="W769" s="30"/>
    </row>
    <row r="770" spans="23:23" ht="12.75" x14ac:dyDescent="0.2">
      <c r="W770" s="30"/>
    </row>
    <row r="771" spans="23:23" ht="12.75" x14ac:dyDescent="0.2">
      <c r="W771" s="30"/>
    </row>
    <row r="772" spans="23:23" ht="12.75" x14ac:dyDescent="0.2">
      <c r="W772" s="30"/>
    </row>
    <row r="773" spans="23:23" ht="12.75" x14ac:dyDescent="0.2">
      <c r="W773" s="30"/>
    </row>
    <row r="774" spans="23:23" ht="12.75" x14ac:dyDescent="0.2">
      <c r="W774" s="30"/>
    </row>
    <row r="775" spans="23:23" ht="12.75" x14ac:dyDescent="0.2">
      <c r="W775" s="30"/>
    </row>
    <row r="776" spans="23:23" ht="12.75" x14ac:dyDescent="0.2">
      <c r="W776" s="30"/>
    </row>
    <row r="777" spans="23:23" ht="12.75" x14ac:dyDescent="0.2">
      <c r="W777" s="30"/>
    </row>
    <row r="778" spans="23:23" ht="12.75" x14ac:dyDescent="0.2">
      <c r="W778" s="30"/>
    </row>
    <row r="779" spans="23:23" ht="12.75" x14ac:dyDescent="0.2">
      <c r="W779" s="30"/>
    </row>
    <row r="780" spans="23:23" ht="12.75" x14ac:dyDescent="0.2">
      <c r="W780" s="30"/>
    </row>
    <row r="781" spans="23:23" ht="12.75" x14ac:dyDescent="0.2">
      <c r="W781" s="30"/>
    </row>
    <row r="782" spans="23:23" ht="12.75" x14ac:dyDescent="0.2">
      <c r="W782" s="30"/>
    </row>
    <row r="783" spans="23:23" ht="12.75" x14ac:dyDescent="0.2">
      <c r="W783" s="30"/>
    </row>
    <row r="784" spans="23:23" ht="12.75" x14ac:dyDescent="0.2">
      <c r="W784" s="30"/>
    </row>
    <row r="785" spans="23:23" ht="12.75" x14ac:dyDescent="0.2">
      <c r="W785" s="30"/>
    </row>
    <row r="786" spans="23:23" ht="12.75" x14ac:dyDescent="0.2">
      <c r="W786" s="30"/>
    </row>
    <row r="787" spans="23:23" ht="12.75" x14ac:dyDescent="0.2">
      <c r="W787" s="30"/>
    </row>
    <row r="788" spans="23:23" ht="12.75" x14ac:dyDescent="0.2">
      <c r="W788" s="30"/>
    </row>
    <row r="789" spans="23:23" ht="12.75" x14ac:dyDescent="0.2">
      <c r="W789" s="30"/>
    </row>
    <row r="790" spans="23:23" ht="12.75" x14ac:dyDescent="0.2">
      <c r="W790" s="30"/>
    </row>
    <row r="791" spans="23:23" ht="12.75" x14ac:dyDescent="0.2">
      <c r="W791" s="30"/>
    </row>
    <row r="792" spans="23:23" ht="12.75" x14ac:dyDescent="0.2">
      <c r="W792" s="30"/>
    </row>
    <row r="793" spans="23:23" ht="12.75" x14ac:dyDescent="0.2">
      <c r="W793" s="30"/>
    </row>
    <row r="794" spans="23:23" ht="12.75" x14ac:dyDescent="0.2">
      <c r="W794" s="30"/>
    </row>
    <row r="795" spans="23:23" ht="12.75" x14ac:dyDescent="0.2">
      <c r="W795" s="30"/>
    </row>
    <row r="796" spans="23:23" ht="12.75" x14ac:dyDescent="0.2">
      <c r="W796" s="30"/>
    </row>
    <row r="797" spans="23:23" ht="12.75" x14ac:dyDescent="0.2">
      <c r="W797" s="30"/>
    </row>
    <row r="798" spans="23:23" ht="12.75" x14ac:dyDescent="0.2">
      <c r="W798" s="30"/>
    </row>
    <row r="799" spans="23:23" ht="12.75" x14ac:dyDescent="0.2">
      <c r="W799" s="30"/>
    </row>
    <row r="800" spans="23:23" ht="12.75" x14ac:dyDescent="0.2">
      <c r="W800" s="30"/>
    </row>
    <row r="801" spans="23:23" ht="12.75" x14ac:dyDescent="0.2">
      <c r="W801" s="30"/>
    </row>
    <row r="802" spans="23:23" ht="12.75" x14ac:dyDescent="0.2">
      <c r="W802" s="30"/>
    </row>
    <row r="803" spans="23:23" ht="12.75" x14ac:dyDescent="0.2">
      <c r="W803" s="30"/>
    </row>
    <row r="804" spans="23:23" ht="12.75" x14ac:dyDescent="0.2">
      <c r="W804" s="30"/>
    </row>
    <row r="805" spans="23:23" ht="12.75" x14ac:dyDescent="0.2">
      <c r="W805" s="30"/>
    </row>
    <row r="806" spans="23:23" ht="12.75" x14ac:dyDescent="0.2">
      <c r="W806" s="30"/>
    </row>
    <row r="807" spans="23:23" ht="12.75" x14ac:dyDescent="0.2">
      <c r="W807" s="30"/>
    </row>
    <row r="808" spans="23:23" ht="12.75" x14ac:dyDescent="0.2">
      <c r="W808" s="30"/>
    </row>
    <row r="809" spans="23:23" ht="12.75" x14ac:dyDescent="0.2">
      <c r="W809" s="30"/>
    </row>
    <row r="810" spans="23:23" ht="12.75" x14ac:dyDescent="0.2">
      <c r="W810" s="30"/>
    </row>
    <row r="811" spans="23:23" ht="12.75" x14ac:dyDescent="0.2">
      <c r="W811" s="30"/>
    </row>
    <row r="812" spans="23:23" ht="12.75" x14ac:dyDescent="0.2">
      <c r="W812" s="30"/>
    </row>
    <row r="813" spans="23:23" ht="12.75" x14ac:dyDescent="0.2">
      <c r="W813" s="30"/>
    </row>
    <row r="814" spans="23:23" ht="12.75" x14ac:dyDescent="0.2">
      <c r="W814" s="30"/>
    </row>
    <row r="815" spans="23:23" ht="12.75" x14ac:dyDescent="0.2">
      <c r="W815" s="30"/>
    </row>
    <row r="816" spans="23:23" ht="12.75" x14ac:dyDescent="0.2">
      <c r="W816" s="30"/>
    </row>
    <row r="817" spans="23:23" ht="12.75" x14ac:dyDescent="0.2">
      <c r="W817" s="30"/>
    </row>
    <row r="818" spans="23:23" ht="12.75" x14ac:dyDescent="0.2">
      <c r="W818" s="30"/>
    </row>
    <row r="819" spans="23:23" ht="12.75" x14ac:dyDescent="0.2">
      <c r="W819" s="30"/>
    </row>
    <row r="820" spans="23:23" ht="12.75" x14ac:dyDescent="0.2">
      <c r="W820" s="30"/>
    </row>
    <row r="821" spans="23:23" ht="12.75" x14ac:dyDescent="0.2">
      <c r="W821" s="30"/>
    </row>
    <row r="822" spans="23:23" ht="12.75" x14ac:dyDescent="0.2">
      <c r="W822" s="30"/>
    </row>
    <row r="823" spans="23:23" ht="12.75" x14ac:dyDescent="0.2">
      <c r="W823" s="30"/>
    </row>
    <row r="824" spans="23:23" ht="12.75" x14ac:dyDescent="0.2">
      <c r="W824" s="30"/>
    </row>
    <row r="825" spans="23:23" ht="12.75" x14ac:dyDescent="0.2">
      <c r="W825" s="30"/>
    </row>
    <row r="826" spans="23:23" ht="12.75" x14ac:dyDescent="0.2">
      <c r="W826" s="30"/>
    </row>
    <row r="827" spans="23:23" ht="12.75" x14ac:dyDescent="0.2">
      <c r="W827" s="30"/>
    </row>
    <row r="828" spans="23:23" ht="12.75" x14ac:dyDescent="0.2">
      <c r="W828" s="30"/>
    </row>
    <row r="829" spans="23:23" ht="12.75" x14ac:dyDescent="0.2">
      <c r="W829" s="30"/>
    </row>
    <row r="830" spans="23:23" ht="12.75" x14ac:dyDescent="0.2">
      <c r="W830" s="30"/>
    </row>
    <row r="831" spans="23:23" ht="12.75" x14ac:dyDescent="0.2">
      <c r="W831" s="30"/>
    </row>
    <row r="832" spans="23:23" ht="12.75" x14ac:dyDescent="0.2">
      <c r="W832" s="30"/>
    </row>
    <row r="833" spans="23:23" ht="12.75" x14ac:dyDescent="0.2">
      <c r="W833" s="30"/>
    </row>
    <row r="834" spans="23:23" ht="12.75" x14ac:dyDescent="0.2">
      <c r="W834" s="30"/>
    </row>
    <row r="835" spans="23:23" ht="12.75" x14ac:dyDescent="0.2">
      <c r="W835" s="30"/>
    </row>
    <row r="836" spans="23:23" ht="12.75" x14ac:dyDescent="0.2">
      <c r="W836" s="30"/>
    </row>
    <row r="837" spans="23:23" ht="12.75" x14ac:dyDescent="0.2">
      <c r="W837" s="30"/>
    </row>
    <row r="838" spans="23:23" ht="12.75" x14ac:dyDescent="0.2">
      <c r="W838" s="30"/>
    </row>
    <row r="839" spans="23:23" ht="12.75" x14ac:dyDescent="0.2">
      <c r="W839" s="30"/>
    </row>
    <row r="840" spans="23:23" ht="12.75" x14ac:dyDescent="0.2">
      <c r="W840" s="30"/>
    </row>
    <row r="841" spans="23:23" ht="12.75" x14ac:dyDescent="0.2">
      <c r="W841" s="30"/>
    </row>
    <row r="842" spans="23:23" ht="12.75" x14ac:dyDescent="0.2">
      <c r="W842" s="30"/>
    </row>
    <row r="843" spans="23:23" ht="12.75" x14ac:dyDescent="0.2">
      <c r="W843" s="30"/>
    </row>
    <row r="844" spans="23:23" ht="12.75" x14ac:dyDescent="0.2">
      <c r="W844" s="30"/>
    </row>
    <row r="845" spans="23:23" ht="12.75" x14ac:dyDescent="0.2">
      <c r="W845" s="30"/>
    </row>
    <row r="846" spans="23:23" ht="12.75" x14ac:dyDescent="0.2">
      <c r="W846" s="30"/>
    </row>
    <row r="847" spans="23:23" ht="12.75" x14ac:dyDescent="0.2">
      <c r="W847" s="30"/>
    </row>
    <row r="848" spans="23:23" ht="12.75" x14ac:dyDescent="0.2">
      <c r="W848" s="30"/>
    </row>
    <row r="849" spans="23:23" ht="12.75" x14ac:dyDescent="0.2">
      <c r="W849" s="30"/>
    </row>
    <row r="850" spans="23:23" ht="12.75" x14ac:dyDescent="0.2">
      <c r="W850" s="30"/>
    </row>
    <row r="851" spans="23:23" ht="12.75" x14ac:dyDescent="0.2">
      <c r="W851" s="30"/>
    </row>
    <row r="852" spans="23:23" ht="12.75" x14ac:dyDescent="0.2">
      <c r="W852" s="30"/>
    </row>
    <row r="853" spans="23:23" ht="12.75" x14ac:dyDescent="0.2">
      <c r="W853" s="30"/>
    </row>
    <row r="854" spans="23:23" ht="12.75" x14ac:dyDescent="0.2">
      <c r="W854" s="30"/>
    </row>
    <row r="855" spans="23:23" ht="12.75" x14ac:dyDescent="0.2">
      <c r="W855" s="30"/>
    </row>
    <row r="856" spans="23:23" ht="12.75" x14ac:dyDescent="0.2">
      <c r="W856" s="30"/>
    </row>
    <row r="857" spans="23:23" ht="12.75" x14ac:dyDescent="0.2">
      <c r="W857" s="30"/>
    </row>
    <row r="858" spans="23:23" ht="12.75" x14ac:dyDescent="0.2">
      <c r="W858" s="30"/>
    </row>
    <row r="859" spans="23:23" ht="12.75" x14ac:dyDescent="0.2">
      <c r="W859" s="30"/>
    </row>
    <row r="860" spans="23:23" ht="12.75" x14ac:dyDescent="0.2">
      <c r="W860" s="30"/>
    </row>
    <row r="861" spans="23:23" ht="12.75" x14ac:dyDescent="0.2">
      <c r="W861" s="30"/>
    </row>
    <row r="862" spans="23:23" ht="12.75" x14ac:dyDescent="0.2">
      <c r="W862" s="30"/>
    </row>
    <row r="863" spans="23:23" ht="12.75" x14ac:dyDescent="0.2">
      <c r="W863" s="30"/>
    </row>
    <row r="864" spans="23:23" ht="12.75" x14ac:dyDescent="0.2">
      <c r="W864" s="30"/>
    </row>
    <row r="865" spans="23:23" ht="12.75" x14ac:dyDescent="0.2">
      <c r="W865" s="30"/>
    </row>
    <row r="866" spans="23:23" ht="12.75" x14ac:dyDescent="0.2">
      <c r="W866" s="30"/>
    </row>
    <row r="867" spans="23:23" ht="12.75" x14ac:dyDescent="0.2">
      <c r="W867" s="30"/>
    </row>
    <row r="868" spans="23:23" ht="12.75" x14ac:dyDescent="0.2">
      <c r="W868" s="30"/>
    </row>
    <row r="869" spans="23:23" ht="12.75" x14ac:dyDescent="0.2">
      <c r="W869" s="30"/>
    </row>
    <row r="870" spans="23:23" ht="12.75" x14ac:dyDescent="0.2">
      <c r="W870" s="30"/>
    </row>
    <row r="871" spans="23:23" ht="12.75" x14ac:dyDescent="0.2">
      <c r="W871" s="30"/>
    </row>
    <row r="872" spans="23:23" ht="12.75" x14ac:dyDescent="0.2">
      <c r="W872" s="30"/>
    </row>
    <row r="873" spans="23:23" ht="12.75" x14ac:dyDescent="0.2">
      <c r="W873" s="30"/>
    </row>
    <row r="874" spans="23:23" ht="12.75" x14ac:dyDescent="0.2">
      <c r="W874" s="30"/>
    </row>
    <row r="875" spans="23:23" ht="12.75" x14ac:dyDescent="0.2">
      <c r="W875" s="30"/>
    </row>
    <row r="876" spans="23:23" ht="12.75" x14ac:dyDescent="0.2">
      <c r="W876" s="30"/>
    </row>
    <row r="877" spans="23:23" ht="12.75" x14ac:dyDescent="0.2">
      <c r="W877" s="30"/>
    </row>
    <row r="878" spans="23:23" ht="12.75" x14ac:dyDescent="0.2">
      <c r="W878" s="30"/>
    </row>
    <row r="879" spans="23:23" ht="12.75" x14ac:dyDescent="0.2">
      <c r="W879" s="30"/>
    </row>
    <row r="880" spans="23:23" ht="12.75" x14ac:dyDescent="0.2">
      <c r="W880" s="30"/>
    </row>
    <row r="881" spans="23:23" ht="12.75" x14ac:dyDescent="0.2">
      <c r="W881" s="30"/>
    </row>
    <row r="882" spans="23:23" ht="12.75" x14ac:dyDescent="0.2">
      <c r="W882" s="30"/>
    </row>
    <row r="883" spans="23:23" ht="12.75" x14ac:dyDescent="0.2">
      <c r="W883" s="30"/>
    </row>
    <row r="884" spans="23:23" ht="12.75" x14ac:dyDescent="0.2">
      <c r="W884" s="30"/>
    </row>
    <row r="885" spans="23:23" ht="12.75" x14ac:dyDescent="0.2">
      <c r="W885" s="30"/>
    </row>
    <row r="886" spans="23:23" ht="12.75" x14ac:dyDescent="0.2">
      <c r="W886" s="30"/>
    </row>
    <row r="887" spans="23:23" ht="12.75" x14ac:dyDescent="0.2">
      <c r="W887" s="30"/>
    </row>
    <row r="888" spans="23:23" ht="12.75" x14ac:dyDescent="0.2">
      <c r="W888" s="30"/>
    </row>
    <row r="889" spans="23:23" ht="12.75" x14ac:dyDescent="0.2">
      <c r="W889" s="30"/>
    </row>
    <row r="890" spans="23:23" ht="12.75" x14ac:dyDescent="0.2">
      <c r="W890" s="30"/>
    </row>
    <row r="891" spans="23:23" ht="12.75" x14ac:dyDescent="0.2">
      <c r="W891" s="30"/>
    </row>
    <row r="892" spans="23:23" ht="12.75" x14ac:dyDescent="0.2">
      <c r="W892" s="30"/>
    </row>
    <row r="893" spans="23:23" ht="12.75" x14ac:dyDescent="0.2">
      <c r="W893" s="30"/>
    </row>
    <row r="894" spans="23:23" ht="12.75" x14ac:dyDescent="0.2">
      <c r="W894" s="30"/>
    </row>
    <row r="895" spans="23:23" ht="12.75" x14ac:dyDescent="0.2">
      <c r="W895" s="30"/>
    </row>
    <row r="896" spans="23:23" ht="12.75" x14ac:dyDescent="0.2">
      <c r="W896" s="30"/>
    </row>
    <row r="897" spans="23:23" ht="12.75" x14ac:dyDescent="0.2">
      <c r="W897" s="30"/>
    </row>
    <row r="898" spans="23:23" ht="12.75" x14ac:dyDescent="0.2">
      <c r="W898" s="30"/>
    </row>
    <row r="899" spans="23:23" ht="12.75" x14ac:dyDescent="0.2">
      <c r="W899" s="30"/>
    </row>
    <row r="900" spans="23:23" ht="12.75" x14ac:dyDescent="0.2">
      <c r="W900" s="30"/>
    </row>
    <row r="901" spans="23:23" ht="12.75" x14ac:dyDescent="0.2">
      <c r="W901" s="30"/>
    </row>
    <row r="902" spans="23:23" ht="12.75" x14ac:dyDescent="0.2">
      <c r="W902" s="30"/>
    </row>
    <row r="903" spans="23:23" ht="12.75" x14ac:dyDescent="0.2">
      <c r="W903" s="30"/>
    </row>
    <row r="904" spans="23:23" ht="12.75" x14ac:dyDescent="0.2">
      <c r="W904" s="30"/>
    </row>
    <row r="905" spans="23:23" ht="12.75" x14ac:dyDescent="0.2">
      <c r="W905" s="30"/>
    </row>
    <row r="906" spans="23:23" ht="12.75" x14ac:dyDescent="0.2">
      <c r="W906" s="30"/>
    </row>
    <row r="907" spans="23:23" ht="12.75" x14ac:dyDescent="0.2">
      <c r="W907" s="30"/>
    </row>
    <row r="908" spans="23:23" ht="12.75" x14ac:dyDescent="0.2">
      <c r="W908" s="30"/>
    </row>
    <row r="909" spans="23:23" ht="12.75" x14ac:dyDescent="0.2">
      <c r="W909" s="30"/>
    </row>
    <row r="910" spans="23:23" ht="12.75" x14ac:dyDescent="0.2">
      <c r="W910" s="30"/>
    </row>
    <row r="911" spans="23:23" ht="12.75" x14ac:dyDescent="0.2">
      <c r="W911" s="30"/>
    </row>
    <row r="912" spans="23:23" ht="12.75" x14ac:dyDescent="0.2">
      <c r="W912" s="30"/>
    </row>
    <row r="913" spans="23:23" ht="12.75" x14ac:dyDescent="0.2">
      <c r="W913" s="30"/>
    </row>
    <row r="914" spans="23:23" ht="12.75" x14ac:dyDescent="0.2">
      <c r="W914" s="30"/>
    </row>
    <row r="915" spans="23:23" ht="12.75" x14ac:dyDescent="0.2">
      <c r="W915" s="30"/>
    </row>
    <row r="916" spans="23:23" ht="12.75" x14ac:dyDescent="0.2">
      <c r="W916" s="30"/>
    </row>
    <row r="917" spans="23:23" ht="12.75" x14ac:dyDescent="0.2">
      <c r="W917" s="30"/>
    </row>
    <row r="918" spans="23:23" ht="12.75" x14ac:dyDescent="0.2">
      <c r="W918" s="30"/>
    </row>
    <row r="919" spans="23:23" ht="12.75" x14ac:dyDescent="0.2">
      <c r="W919" s="30"/>
    </row>
    <row r="920" spans="23:23" ht="12.75" x14ac:dyDescent="0.2">
      <c r="W920" s="30"/>
    </row>
    <row r="921" spans="23:23" ht="12.75" x14ac:dyDescent="0.2">
      <c r="W921" s="30"/>
    </row>
    <row r="922" spans="23:23" ht="12.75" x14ac:dyDescent="0.2">
      <c r="W922" s="30"/>
    </row>
    <row r="923" spans="23:23" ht="12.75" x14ac:dyDescent="0.2">
      <c r="W923" s="30"/>
    </row>
    <row r="924" spans="23:23" ht="12.75" x14ac:dyDescent="0.2">
      <c r="W924" s="30"/>
    </row>
    <row r="925" spans="23:23" ht="12.75" x14ac:dyDescent="0.2">
      <c r="W925" s="30"/>
    </row>
    <row r="926" spans="23:23" ht="12.75" x14ac:dyDescent="0.2">
      <c r="W926" s="30"/>
    </row>
    <row r="927" spans="23:23" ht="12.75" x14ac:dyDescent="0.2">
      <c r="W927" s="30"/>
    </row>
    <row r="928" spans="23:23" ht="12.75" x14ac:dyDescent="0.2">
      <c r="W928" s="30"/>
    </row>
    <row r="929" spans="23:23" ht="12.75" x14ac:dyDescent="0.2">
      <c r="W929" s="30"/>
    </row>
    <row r="930" spans="23:23" ht="12.75" x14ac:dyDescent="0.2">
      <c r="W930" s="30"/>
    </row>
    <row r="931" spans="23:23" ht="12.75" x14ac:dyDescent="0.2">
      <c r="W931" s="30"/>
    </row>
    <row r="932" spans="23:23" ht="12.75" x14ac:dyDescent="0.2">
      <c r="W932" s="30"/>
    </row>
    <row r="933" spans="23:23" ht="12.75" x14ac:dyDescent="0.2">
      <c r="W933" s="30"/>
    </row>
    <row r="934" spans="23:23" ht="12.75" x14ac:dyDescent="0.2">
      <c r="W934" s="30"/>
    </row>
    <row r="935" spans="23:23" ht="12.75" x14ac:dyDescent="0.2">
      <c r="W935" s="30"/>
    </row>
    <row r="936" spans="23:23" ht="12.75" x14ac:dyDescent="0.2">
      <c r="W936" s="30"/>
    </row>
    <row r="937" spans="23:23" ht="12.75" x14ac:dyDescent="0.2">
      <c r="W937" s="30"/>
    </row>
    <row r="938" spans="23:23" ht="12.75" x14ac:dyDescent="0.2">
      <c r="W938" s="30"/>
    </row>
    <row r="939" spans="23:23" ht="12.75" x14ac:dyDescent="0.2">
      <c r="W939" s="30"/>
    </row>
    <row r="940" spans="23:23" ht="12.75" x14ac:dyDescent="0.2">
      <c r="W940" s="30"/>
    </row>
    <row r="941" spans="23:23" ht="12.75" x14ac:dyDescent="0.2">
      <c r="W941" s="30"/>
    </row>
    <row r="942" spans="23:23" ht="12.75" x14ac:dyDescent="0.2">
      <c r="W942" s="30"/>
    </row>
    <row r="943" spans="23:23" ht="12.75" x14ac:dyDescent="0.2">
      <c r="W943" s="30"/>
    </row>
    <row r="944" spans="23:23" ht="12.75" x14ac:dyDescent="0.2">
      <c r="W944" s="30"/>
    </row>
    <row r="945" spans="23:23" ht="12.75" x14ac:dyDescent="0.2">
      <c r="W945" s="30"/>
    </row>
    <row r="946" spans="23:23" ht="12.75" x14ac:dyDescent="0.2">
      <c r="W946" s="30"/>
    </row>
    <row r="947" spans="23:23" ht="12.75" x14ac:dyDescent="0.2">
      <c r="W947" s="30"/>
    </row>
    <row r="948" spans="23:23" ht="12.75" x14ac:dyDescent="0.2">
      <c r="W948" s="30"/>
    </row>
    <row r="949" spans="23:23" ht="12.75" x14ac:dyDescent="0.2">
      <c r="W949" s="30"/>
    </row>
    <row r="950" spans="23:23" ht="12.75" x14ac:dyDescent="0.2">
      <c r="W950" s="30"/>
    </row>
    <row r="951" spans="23:23" ht="12.75" x14ac:dyDescent="0.2">
      <c r="W951" s="30"/>
    </row>
    <row r="952" spans="23:23" ht="12.75" x14ac:dyDescent="0.2">
      <c r="W952" s="30"/>
    </row>
    <row r="953" spans="23:23" ht="12.75" x14ac:dyDescent="0.2">
      <c r="W953" s="30"/>
    </row>
    <row r="954" spans="23:23" ht="12.75" x14ac:dyDescent="0.2">
      <c r="W954" s="30"/>
    </row>
    <row r="955" spans="23:23" ht="12.75" x14ac:dyDescent="0.2">
      <c r="W955" s="30"/>
    </row>
    <row r="956" spans="23:23" ht="12.75" x14ac:dyDescent="0.2">
      <c r="W956" s="30"/>
    </row>
    <row r="957" spans="23:23" ht="12.75" x14ac:dyDescent="0.2">
      <c r="W957" s="30"/>
    </row>
    <row r="958" spans="23:23" ht="12.75" x14ac:dyDescent="0.2">
      <c r="W958" s="30"/>
    </row>
    <row r="959" spans="23:23" ht="12.75" x14ac:dyDescent="0.2">
      <c r="W959" s="30"/>
    </row>
    <row r="960" spans="23:23" ht="12.75" x14ac:dyDescent="0.2">
      <c r="W960" s="30"/>
    </row>
    <row r="961" spans="23:23" ht="12.75" x14ac:dyDescent="0.2">
      <c r="W961" s="30"/>
    </row>
    <row r="962" spans="23:23" ht="12.75" x14ac:dyDescent="0.2">
      <c r="W962" s="30"/>
    </row>
    <row r="963" spans="23:23" ht="12.75" x14ac:dyDescent="0.2">
      <c r="W963" s="30"/>
    </row>
    <row r="964" spans="23:23" ht="12.75" x14ac:dyDescent="0.2">
      <c r="W964" s="30"/>
    </row>
    <row r="965" spans="23:23" ht="12.75" x14ac:dyDescent="0.2">
      <c r="W965" s="30"/>
    </row>
    <row r="966" spans="23:23" ht="12.75" x14ac:dyDescent="0.2">
      <c r="W966" s="30"/>
    </row>
    <row r="967" spans="23:23" ht="12.75" x14ac:dyDescent="0.2">
      <c r="W967" s="30"/>
    </row>
    <row r="968" spans="23:23" ht="12.75" x14ac:dyDescent="0.2">
      <c r="W968" s="30"/>
    </row>
    <row r="969" spans="23:23" ht="12.75" x14ac:dyDescent="0.2">
      <c r="W969" s="30"/>
    </row>
    <row r="970" spans="23:23" ht="12.75" x14ac:dyDescent="0.2">
      <c r="W970" s="30"/>
    </row>
    <row r="971" spans="23:23" ht="12.75" x14ac:dyDescent="0.2">
      <c r="W971" s="30"/>
    </row>
    <row r="972" spans="23:23" ht="12.75" x14ac:dyDescent="0.2">
      <c r="W972" s="30"/>
    </row>
    <row r="973" spans="23:23" ht="12.75" x14ac:dyDescent="0.2">
      <c r="W973" s="30"/>
    </row>
    <row r="974" spans="23:23" ht="12.75" x14ac:dyDescent="0.2">
      <c r="W974" s="30"/>
    </row>
    <row r="975" spans="23:23" ht="12.75" x14ac:dyDescent="0.2">
      <c r="W975" s="30"/>
    </row>
    <row r="976" spans="23:23" ht="12.75" x14ac:dyDescent="0.2">
      <c r="W976" s="30"/>
    </row>
    <row r="977" spans="23:23" ht="12.75" x14ac:dyDescent="0.2">
      <c r="W977" s="30"/>
    </row>
    <row r="978" spans="23:23" ht="12.75" x14ac:dyDescent="0.2">
      <c r="W978" s="30"/>
    </row>
    <row r="979" spans="23:23" ht="12.75" x14ac:dyDescent="0.2">
      <c r="W979" s="30"/>
    </row>
    <row r="980" spans="23:23" ht="12.75" x14ac:dyDescent="0.2">
      <c r="W980" s="30"/>
    </row>
    <row r="981" spans="23:23" ht="12.75" x14ac:dyDescent="0.2">
      <c r="W981" s="30"/>
    </row>
    <row r="982" spans="23:23" ht="12.75" x14ac:dyDescent="0.2">
      <c r="W982" s="30"/>
    </row>
    <row r="983" spans="23:23" ht="12.75" x14ac:dyDescent="0.2">
      <c r="W983" s="30"/>
    </row>
    <row r="984" spans="23:23" ht="12.75" x14ac:dyDescent="0.2">
      <c r="W984" s="30"/>
    </row>
    <row r="985" spans="23:23" ht="12.75" x14ac:dyDescent="0.2">
      <c r="W985" s="30"/>
    </row>
    <row r="986" spans="23:23" ht="12.75" x14ac:dyDescent="0.2">
      <c r="W986" s="30"/>
    </row>
    <row r="987" spans="23:23" ht="12.75" x14ac:dyDescent="0.2">
      <c r="W987" s="30"/>
    </row>
    <row r="988" spans="23:23" ht="12.75" x14ac:dyDescent="0.2">
      <c r="W988" s="30"/>
    </row>
    <row r="989" spans="23:23" ht="12.75" x14ac:dyDescent="0.2">
      <c r="W989" s="30"/>
    </row>
    <row r="990" spans="23:23" ht="12.75" x14ac:dyDescent="0.2">
      <c r="W990" s="30"/>
    </row>
    <row r="991" spans="23:23" ht="12.75" x14ac:dyDescent="0.2">
      <c r="W991" s="30"/>
    </row>
    <row r="992" spans="23:23" ht="12.75" x14ac:dyDescent="0.2">
      <c r="W992" s="30"/>
    </row>
    <row r="993" spans="23:23" ht="12.75" x14ac:dyDescent="0.2">
      <c r="W993" s="30"/>
    </row>
    <row r="994" spans="23:23" ht="12.75" x14ac:dyDescent="0.2">
      <c r="W994" s="30"/>
    </row>
    <row r="995" spans="23:23" ht="12.75" x14ac:dyDescent="0.2">
      <c r="W995" s="30"/>
    </row>
    <row r="996" spans="23:23" ht="12.75" x14ac:dyDescent="0.2">
      <c r="W996" s="30"/>
    </row>
    <row r="997" spans="23:23" ht="12.75" x14ac:dyDescent="0.2">
      <c r="W997" s="30"/>
    </row>
    <row r="998" spans="23:23" ht="12.75" x14ac:dyDescent="0.2">
      <c r="W998" s="30"/>
    </row>
    <row r="999" spans="23:23" ht="12.75" x14ac:dyDescent="0.2">
      <c r="W999" s="30"/>
    </row>
    <row r="1000" spans="23:23" ht="12.75" x14ac:dyDescent="0.2">
      <c r="W1000" s="30"/>
    </row>
  </sheetData>
  <mergeCells count="2">
    <mergeCell ref="A1:AJ1"/>
    <mergeCell ref="B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 mới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ROG_Zephyrus_G14</dc:creator>
  <cp:lastModifiedBy>Cao Cường Đặng</cp:lastModifiedBy>
  <dcterms:modified xsi:type="dcterms:W3CDTF">2026-09-15T04:29:00Z</dcterms:modified>
</cp:coreProperties>
</file>